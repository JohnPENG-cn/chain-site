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需求" sheetId="2" state="visible" r:id="rId2"/>
    <sheet xmlns:r="http://schemas.openxmlformats.org/officeDocument/2006/relationships" name="其他与供给" sheetId="3" state="visible" r:id="rId3"/>
    <sheet xmlns:r="http://schemas.openxmlformats.org/officeDocument/2006/relationships" name="平衡表" sheetId="4" state="visible" r:id="rId4"/>
    <sheet xmlns:r="http://schemas.openxmlformats.org/officeDocument/2006/relationships" name="季度产能" sheetId="5" state="visible" r:id="rId5"/>
    <sheet xmlns:r="http://schemas.openxmlformats.org/officeDocument/2006/relationships" name="硅中介层" sheetId="6" state="visible" r:id="rId6"/>
    <sheet xmlns:r="http://schemas.openxmlformats.org/officeDocument/2006/relationships" name="来源" sheetId="7" state="visible" r:id="rId7"/>
    <sheet xmlns:r="http://schemas.openxmlformats.org/officeDocument/2006/relationships" name="TOC约束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CoWoS 先进封装供需模型 v0.1（2026-10-15，Kiko）</t>
        </is>
      </c>
    </row>
    <row r="2">
      <c r="A2" t="inlineStr">
        <is>
          <t>黄色格=可改假设；其余为公式。单位：千片(12寸 CoWoS 晶圆)/年；EB=10亿GB。</t>
        </is>
      </c>
    </row>
    <row r="3">
      <c r="A3" t="inlineStr">
        <is>
          <t>需求 = Σ 出货(百万颗) ÷ 每片可封良品颗数 × 1000 + 其他(交换芯片/FPGA等)</t>
        </is>
      </c>
    </row>
    <row r="4">
      <c r="A4" t="inlineStr">
        <is>
          <t>供给 = Σ 12个月 (TSMC + 非TSMC 月产能) × 有效稼动率；月产能=年末锚点线性插值</t>
        </is>
      </c>
    </row>
    <row r="5">
      <c r="A5" t="inlineStr">
        <is>
          <t>出货：KGI 2026-09-15 AI 加速器预测(Figure 10)；每片颗数(ppw)与每封装HBM容量多为自估，锚点：H100≈28、B200≈16 颗/片（爱建证券引 SemiAnalysis）</t>
        </is>
      </c>
    </row>
    <row r="6">
      <c r="A6" t="inlineStr">
        <is>
          <t>产能锚点：KGI（TSMC 年末 13/34/72/120/185 千片/月；2.5D 合计 15/39/89/155/265）。其他口径：MS 2026/27 年末 130/200；UBS 180(+ASE 70、Amkor 20)；JPM 115/155。</t>
        </is>
      </c>
    </row>
    <row r="7">
      <c r="A7" t="inlineStr">
        <is>
          <t>不构成投资建议。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厂商</t>
        </is>
      </c>
      <c r="C1" s="1" t="inlineStr">
        <is>
          <t>产品</t>
        </is>
      </c>
      <c r="D1" s="1" t="inlineStr">
        <is>
          <t>出货(百万颗)</t>
        </is>
      </c>
      <c r="E1" s="1" t="inlineStr">
        <is>
          <t>每片颗数ppw</t>
        </is>
      </c>
      <c r="F1" s="1" t="inlineStr">
        <is>
          <t>封装类型</t>
        </is>
      </c>
      <c r="G1" s="1" t="inlineStr">
        <is>
          <t>HBM GB/封装</t>
        </is>
      </c>
      <c r="H1" s="1" t="inlineStr">
        <is>
          <t>CoWoS片(千)</t>
        </is>
      </c>
      <c r="I1" s="1" t="inlineStr">
        <is>
          <t>HBM需求(PB)</t>
        </is>
      </c>
      <c r="J1" s="1" t="inlineStr">
        <is>
          <t>出货来源</t>
        </is>
      </c>
    </row>
    <row r="2">
      <c r="A2" t="n">
        <v>2023</v>
      </c>
      <c r="B2" t="inlineStr">
        <is>
          <t>英伟达</t>
        </is>
      </c>
      <c r="C2" t="inlineStr">
        <is>
          <t>A100</t>
        </is>
      </c>
      <c r="D2" s="2" t="n">
        <v>1.45</v>
      </c>
      <c r="E2" s="2" t="n">
        <v>30</v>
      </c>
      <c r="F2" t="inlineStr">
        <is>
          <t>S</t>
        </is>
      </c>
      <c r="G2" s="2" t="n">
        <v>80</v>
      </c>
      <c r="H2">
        <f>D2/E2*1000</f>
        <v/>
      </c>
      <c r="I2">
        <f>D2*G2</f>
        <v/>
      </c>
      <c r="J2" t="inlineStr">
        <is>
          <t>KGI Fig.10</t>
        </is>
      </c>
    </row>
    <row r="3">
      <c r="A3" t="n">
        <v>2023</v>
      </c>
      <c r="B3" t="inlineStr">
        <is>
          <t>AMD</t>
        </is>
      </c>
      <c r="C3" t="inlineStr">
        <is>
          <t>MI250/MI300</t>
        </is>
      </c>
      <c r="D3" s="2" t="n">
        <v>0.168</v>
      </c>
      <c r="E3" s="2" t="n">
        <v>18</v>
      </c>
      <c r="F3" t="inlineStr">
        <is>
          <t>S</t>
        </is>
      </c>
      <c r="G3" s="2" t="n">
        <v>128</v>
      </c>
      <c r="H3">
        <f>D3/E3*1000</f>
        <v/>
      </c>
      <c r="I3">
        <f>D3*G3</f>
        <v/>
      </c>
      <c r="J3" t="inlineStr">
        <is>
          <t>KGI Fig.10</t>
        </is>
      </c>
    </row>
    <row r="4">
      <c r="A4" t="n">
        <v>2023</v>
      </c>
      <c r="B4" t="inlineStr">
        <is>
          <t>其他GPU</t>
        </is>
      </c>
      <c r="C4" t="inlineStr">
        <is>
          <t>Gaudi等</t>
        </is>
      </c>
      <c r="D4" s="2" t="n">
        <v>0.027</v>
      </c>
      <c r="E4" s="2" t="n">
        <v>25</v>
      </c>
      <c r="F4" t="inlineStr">
        <is>
          <t>S</t>
        </is>
      </c>
      <c r="G4" s="2" t="n">
        <v>96</v>
      </c>
      <c r="H4">
        <f>D4/E4*1000</f>
        <v/>
      </c>
      <c r="I4">
        <f>D4*G4</f>
        <v/>
      </c>
      <c r="J4" t="inlineStr">
        <is>
          <t>KGI Fig.10</t>
        </is>
      </c>
    </row>
    <row r="5">
      <c r="A5" t="n">
        <v>2023</v>
      </c>
      <c r="B5" t="inlineStr">
        <is>
          <t>谷歌TPU</t>
        </is>
      </c>
      <c r="C5" t="inlineStr">
        <is>
          <t>TPU v4/v5</t>
        </is>
      </c>
      <c r="D5" s="2" t="n">
        <v>1.464</v>
      </c>
      <c r="E5" s="2" t="n">
        <v>30</v>
      </c>
      <c r="F5" t="inlineStr">
        <is>
          <t>S</t>
        </is>
      </c>
      <c r="G5" s="2" t="n">
        <v>32</v>
      </c>
      <c r="H5">
        <f>D5/E5*1000</f>
        <v/>
      </c>
      <c r="I5">
        <f>D5*G5</f>
        <v/>
      </c>
      <c r="J5" t="inlineStr">
        <is>
          <t>KGI Fig.10</t>
        </is>
      </c>
    </row>
    <row r="6">
      <c r="A6" t="n">
        <v>2023</v>
      </c>
      <c r="B6" t="inlineStr">
        <is>
          <t>AWS</t>
        </is>
      </c>
      <c r="C6" t="inlineStr">
        <is>
          <t>Trainium1/Inferentia2</t>
        </is>
      </c>
      <c r="D6" s="2" t="n">
        <v>0.495</v>
      </c>
      <c r="E6" s="2" t="n">
        <v>30</v>
      </c>
      <c r="F6" t="inlineStr">
        <is>
          <t>S</t>
        </is>
      </c>
      <c r="G6" s="2" t="n">
        <v>32</v>
      </c>
      <c r="H6">
        <f>D6/E6*1000</f>
        <v/>
      </c>
      <c r="I6">
        <f>D6*G6</f>
        <v/>
      </c>
      <c r="J6" t="inlineStr">
        <is>
          <t>KGI Fig.10</t>
        </is>
      </c>
    </row>
    <row r="7">
      <c r="A7" t="n">
        <v>2023</v>
      </c>
      <c r="B7" t="inlineStr">
        <is>
          <t>其他ASIC</t>
        </is>
      </c>
      <c r="C7" t="inlineStr">
        <is>
          <t>其他</t>
        </is>
      </c>
      <c r="D7" s="2" t="n">
        <v>0.3</v>
      </c>
      <c r="E7" s="2" t="n">
        <v>30</v>
      </c>
      <c r="F7" t="inlineStr">
        <is>
          <t>S</t>
        </is>
      </c>
      <c r="G7" s="2" t="n">
        <v>32</v>
      </c>
      <c r="H7">
        <f>D7/E7*1000</f>
        <v/>
      </c>
      <c r="I7">
        <f>D7*G7</f>
        <v/>
      </c>
      <c r="J7" t="inlineStr">
        <is>
          <t>KGI Fig.10</t>
        </is>
      </c>
    </row>
    <row r="8">
      <c r="A8" t="n">
        <v>2024</v>
      </c>
      <c r="B8" t="inlineStr">
        <is>
          <t>英伟达</t>
        </is>
      </c>
      <c r="C8" t="inlineStr">
        <is>
          <t>A100</t>
        </is>
      </c>
      <c r="D8" s="2" t="n">
        <v>0.08799999999999999</v>
      </c>
      <c r="E8" s="2" t="n">
        <v>30</v>
      </c>
      <c r="F8" t="inlineStr">
        <is>
          <t>S</t>
        </is>
      </c>
      <c r="G8" s="2" t="n">
        <v>80</v>
      </c>
      <c r="H8">
        <f>D8/E8*1000</f>
        <v/>
      </c>
      <c r="I8">
        <f>D8*G8</f>
        <v/>
      </c>
      <c r="J8" t="inlineStr">
        <is>
          <t>KGI Fig.10</t>
        </is>
      </c>
    </row>
    <row r="9">
      <c r="A9" t="n">
        <v>2024</v>
      </c>
      <c r="B9" t="inlineStr">
        <is>
          <t>英伟达</t>
        </is>
      </c>
      <c r="C9" t="inlineStr">
        <is>
          <t>H100/H200</t>
        </is>
      </c>
      <c r="D9" s="2" t="n">
        <v>3.218</v>
      </c>
      <c r="E9" s="2" t="n">
        <v>28</v>
      </c>
      <c r="F9" t="inlineStr">
        <is>
          <t>S</t>
        </is>
      </c>
      <c r="G9" s="2" t="n">
        <v>90</v>
      </c>
      <c r="H9">
        <f>D9/E9*1000</f>
        <v/>
      </c>
      <c r="I9">
        <f>D9*G9</f>
        <v/>
      </c>
      <c r="J9" t="inlineStr">
        <is>
          <t>KGI Fig.10</t>
        </is>
      </c>
    </row>
    <row r="10">
      <c r="A10" t="n">
        <v>2024</v>
      </c>
      <c r="B10" t="inlineStr">
        <is>
          <t>英伟达</t>
        </is>
      </c>
      <c r="C10" t="inlineStr">
        <is>
          <t>B200</t>
        </is>
      </c>
      <c r="D10" s="2" t="n">
        <v>0.532</v>
      </c>
      <c r="E10" s="2" t="n">
        <v>14</v>
      </c>
      <c r="F10" t="inlineStr">
        <is>
          <t>L</t>
        </is>
      </c>
      <c r="G10" s="2" t="n">
        <v>192</v>
      </c>
      <c r="H10">
        <f>D10/E10*1000</f>
        <v/>
      </c>
      <c r="I10">
        <f>D10*G10</f>
        <v/>
      </c>
      <c r="J10" t="inlineStr">
        <is>
          <t>KGI Fig.10</t>
        </is>
      </c>
    </row>
    <row r="11">
      <c r="A11" t="n">
        <v>2024</v>
      </c>
      <c r="B11" t="inlineStr">
        <is>
          <t>AMD</t>
        </is>
      </c>
      <c r="C11" t="inlineStr">
        <is>
          <t>MI300X</t>
        </is>
      </c>
      <c r="D11" s="2" t="n">
        <v>0.49</v>
      </c>
      <c r="E11" s="2" t="n">
        <v>18</v>
      </c>
      <c r="F11" t="inlineStr">
        <is>
          <t>S</t>
        </is>
      </c>
      <c r="G11" s="2" t="n">
        <v>192</v>
      </c>
      <c r="H11">
        <f>D11/E11*1000</f>
        <v/>
      </c>
      <c r="I11">
        <f>D11*G11</f>
        <v/>
      </c>
      <c r="J11" t="inlineStr">
        <is>
          <t>KGI Fig.10</t>
        </is>
      </c>
    </row>
    <row r="12">
      <c r="A12" t="n">
        <v>2024</v>
      </c>
      <c r="B12" t="inlineStr">
        <is>
          <t>其他GPU</t>
        </is>
      </c>
      <c r="C12" t="inlineStr">
        <is>
          <t>Gaudi/其他</t>
        </is>
      </c>
      <c r="D12" s="2" t="n">
        <v>0.402</v>
      </c>
      <c r="E12" s="2" t="n">
        <v>25</v>
      </c>
      <c r="F12" t="inlineStr">
        <is>
          <t>S</t>
        </is>
      </c>
      <c r="G12" s="2" t="n">
        <v>96</v>
      </c>
      <c r="H12">
        <f>D12/E12*1000</f>
        <v/>
      </c>
      <c r="I12">
        <f>D12*G12</f>
        <v/>
      </c>
      <c r="J12" t="inlineStr">
        <is>
          <t>KGI Fig.10</t>
        </is>
      </c>
    </row>
    <row r="13">
      <c r="A13" t="n">
        <v>2024</v>
      </c>
      <c r="B13" t="inlineStr">
        <is>
          <t>谷歌TPU</t>
        </is>
      </c>
      <c r="C13" t="inlineStr">
        <is>
          <t>TPU v5/v6</t>
        </is>
      </c>
      <c r="D13" s="2" t="n">
        <v>2.099</v>
      </c>
      <c r="E13" s="2" t="n">
        <v>30</v>
      </c>
      <c r="F13" t="inlineStr">
        <is>
          <t>S</t>
        </is>
      </c>
      <c r="G13" s="2" t="n">
        <v>40</v>
      </c>
      <c r="H13">
        <f>D13/E13*1000</f>
        <v/>
      </c>
      <c r="I13">
        <f>D13*G13</f>
        <v/>
      </c>
      <c r="J13" t="inlineStr">
        <is>
          <t>KGI Fig.10</t>
        </is>
      </c>
    </row>
    <row r="14">
      <c r="A14" t="n">
        <v>2024</v>
      </c>
      <c r="B14" t="inlineStr">
        <is>
          <t>AWS</t>
        </is>
      </c>
      <c r="C14" t="inlineStr">
        <is>
          <t>Trainium</t>
        </is>
      </c>
      <c r="D14" s="2" t="n">
        <v>1.225</v>
      </c>
      <c r="E14" s="2" t="n">
        <v>25</v>
      </c>
      <c r="F14" t="inlineStr">
        <is>
          <t>S</t>
        </is>
      </c>
      <c r="G14" s="2" t="n">
        <v>64</v>
      </c>
      <c r="H14">
        <f>D14/E14*1000</f>
        <v/>
      </c>
      <c r="I14">
        <f>D14*G14</f>
        <v/>
      </c>
      <c r="J14" t="inlineStr">
        <is>
          <t>KGI Fig.10</t>
        </is>
      </c>
    </row>
    <row r="15">
      <c r="A15" t="n">
        <v>2024</v>
      </c>
      <c r="B15" t="inlineStr">
        <is>
          <t>其他ASIC</t>
        </is>
      </c>
      <c r="C15" t="inlineStr">
        <is>
          <t>MTIA/Maia/其他</t>
        </is>
      </c>
      <c r="D15" s="2" t="n">
        <v>0.66</v>
      </c>
      <c r="E15" s="2" t="n">
        <v>30</v>
      </c>
      <c r="F15" t="inlineStr">
        <is>
          <t>S</t>
        </is>
      </c>
      <c r="G15" s="2" t="n">
        <v>64</v>
      </c>
      <c r="H15">
        <f>D15/E15*1000</f>
        <v/>
      </c>
      <c r="I15">
        <f>D15*G15</f>
        <v/>
      </c>
      <c r="J15" t="inlineStr">
        <is>
          <t>KGI Fig.10</t>
        </is>
      </c>
    </row>
    <row r="16">
      <c r="A16" t="n">
        <v>2025</v>
      </c>
      <c r="B16" t="inlineStr">
        <is>
          <t>英伟达</t>
        </is>
      </c>
      <c r="C16" t="inlineStr">
        <is>
          <t>H100/H200/H20</t>
        </is>
      </c>
      <c r="D16" s="2" t="n">
        <v>0.522</v>
      </c>
      <c r="E16" s="2" t="n">
        <v>28</v>
      </c>
      <c r="F16" t="inlineStr">
        <is>
          <t>S</t>
        </is>
      </c>
      <c r="G16" s="2" t="n">
        <v>110</v>
      </c>
      <c r="H16">
        <f>D16/E16*1000</f>
        <v/>
      </c>
      <c r="I16">
        <f>D16*G16</f>
        <v/>
      </c>
      <c r="J16" t="inlineStr">
        <is>
          <t>KGI Fig.10</t>
        </is>
      </c>
    </row>
    <row r="17">
      <c r="A17" t="n">
        <v>2025</v>
      </c>
      <c r="B17" t="inlineStr">
        <is>
          <t>英伟达</t>
        </is>
      </c>
      <c r="C17" t="inlineStr">
        <is>
          <t>B200</t>
        </is>
      </c>
      <c r="D17" s="2" t="n">
        <v>2.873</v>
      </c>
      <c r="E17" s="2" t="n">
        <v>15</v>
      </c>
      <c r="F17" t="inlineStr">
        <is>
          <t>L</t>
        </is>
      </c>
      <c r="G17" s="2" t="n">
        <v>192</v>
      </c>
      <c r="H17">
        <f>D17/E17*1000</f>
        <v/>
      </c>
      <c r="I17">
        <f>D17*G17</f>
        <v/>
      </c>
      <c r="J17" t="inlineStr">
        <is>
          <t>KGI Fig.10</t>
        </is>
      </c>
    </row>
    <row r="18">
      <c r="A18" t="n">
        <v>2025</v>
      </c>
      <c r="B18" t="inlineStr">
        <is>
          <t>英伟达</t>
        </is>
      </c>
      <c r="C18" t="inlineStr">
        <is>
          <t>B300</t>
        </is>
      </c>
      <c r="D18" s="2" t="n">
        <v>1.915</v>
      </c>
      <c r="E18" s="2" t="n">
        <v>13</v>
      </c>
      <c r="F18" t="inlineStr">
        <is>
          <t>L</t>
        </is>
      </c>
      <c r="G18" s="2" t="n">
        <v>288</v>
      </c>
      <c r="H18">
        <f>D18/E18*1000</f>
        <v/>
      </c>
      <c r="I18">
        <f>D18*G18</f>
        <v/>
      </c>
      <c r="J18" t="inlineStr">
        <is>
          <t>KGI Fig.10</t>
        </is>
      </c>
    </row>
    <row r="19">
      <c r="A19" t="n">
        <v>2025</v>
      </c>
      <c r="B19" t="inlineStr">
        <is>
          <t>AMD</t>
        </is>
      </c>
      <c r="C19" t="inlineStr">
        <is>
          <t>MI325/MI355</t>
        </is>
      </c>
      <c r="D19" s="2" t="n">
        <v>0.927</v>
      </c>
      <c r="E19" s="2" t="n">
        <v>15</v>
      </c>
      <c r="F19" t="inlineStr">
        <is>
          <t>S</t>
        </is>
      </c>
      <c r="G19" s="2" t="n">
        <v>288</v>
      </c>
      <c r="H19">
        <f>D19/E19*1000</f>
        <v/>
      </c>
      <c r="I19">
        <f>D19*G19</f>
        <v/>
      </c>
      <c r="J19" t="inlineStr">
        <is>
          <t>KGI Fig.10</t>
        </is>
      </c>
    </row>
    <row r="20">
      <c r="A20" t="n">
        <v>2025</v>
      </c>
      <c r="B20" t="inlineStr">
        <is>
          <t>其他GPU</t>
        </is>
      </c>
      <c r="C20" t="inlineStr">
        <is>
          <t>其他</t>
        </is>
      </c>
      <c r="D20" s="2" t="n">
        <v>0.516</v>
      </c>
      <c r="E20" s="2" t="n">
        <v>25</v>
      </c>
      <c r="F20" t="inlineStr">
        <is>
          <t>S</t>
        </is>
      </c>
      <c r="G20" s="2" t="n">
        <v>96</v>
      </c>
      <c r="H20">
        <f>D20/E20*1000</f>
        <v/>
      </c>
      <c r="I20">
        <f>D20*G20</f>
        <v/>
      </c>
      <c r="J20" t="inlineStr">
        <is>
          <t>KGI Fig.10</t>
        </is>
      </c>
    </row>
    <row r="21">
      <c r="A21" t="n">
        <v>2025</v>
      </c>
      <c r="B21" t="inlineStr">
        <is>
          <t>谷歌TPU</t>
        </is>
      </c>
      <c r="C21" t="inlineStr">
        <is>
          <t>Trillium/Ironwood</t>
        </is>
      </c>
      <c r="D21" s="2" t="n">
        <v>2.527</v>
      </c>
      <c r="E21" s="2" t="n">
        <v>22</v>
      </c>
      <c r="F21" t="inlineStr">
        <is>
          <t>S</t>
        </is>
      </c>
      <c r="G21" s="2" t="n">
        <v>128</v>
      </c>
      <c r="H21">
        <f>D21/E21*1000</f>
        <v/>
      </c>
      <c r="I21">
        <f>D21*G21</f>
        <v/>
      </c>
      <c r="J21" t="inlineStr">
        <is>
          <t>KGI Fig.10</t>
        </is>
      </c>
    </row>
    <row r="22">
      <c r="A22" t="n">
        <v>2025</v>
      </c>
      <c r="B22" t="inlineStr">
        <is>
          <t>AWS</t>
        </is>
      </c>
      <c r="C22" t="inlineStr">
        <is>
          <t>Trainium2</t>
        </is>
      </c>
      <c r="D22" s="2" t="n">
        <v>1.6</v>
      </c>
      <c r="E22" s="2" t="n">
        <v>22</v>
      </c>
      <c r="F22" t="inlineStr">
        <is>
          <t>S</t>
        </is>
      </c>
      <c r="G22" s="2" t="n">
        <v>96</v>
      </c>
      <c r="H22">
        <f>D22/E22*1000</f>
        <v/>
      </c>
      <c r="I22">
        <f>D22*G22</f>
        <v/>
      </c>
      <c r="J22" t="inlineStr">
        <is>
          <t>KGI Fig.10</t>
        </is>
      </c>
    </row>
    <row r="23">
      <c r="A23" t="n">
        <v>2025</v>
      </c>
      <c r="B23" t="inlineStr">
        <is>
          <t>其他ASIC</t>
        </is>
      </c>
      <c r="C23" t="inlineStr">
        <is>
          <t>MTIA/Maia/其他</t>
        </is>
      </c>
      <c r="D23" s="2" t="n">
        <v>0.75</v>
      </c>
      <c r="E23" s="2" t="n">
        <v>25</v>
      </c>
      <c r="F23" t="inlineStr">
        <is>
          <t>S</t>
        </is>
      </c>
      <c r="G23" s="2" t="n">
        <v>96</v>
      </c>
      <c r="H23">
        <f>D23/E23*1000</f>
        <v/>
      </c>
      <c r="I23">
        <f>D23*G23</f>
        <v/>
      </c>
      <c r="J23" t="inlineStr">
        <is>
          <t>KGI Fig.10</t>
        </is>
      </c>
    </row>
    <row r="24">
      <c r="A24" t="n">
        <v>2026</v>
      </c>
      <c r="B24" t="inlineStr">
        <is>
          <t>英伟达</t>
        </is>
      </c>
      <c r="C24" t="inlineStr">
        <is>
          <t>H100/H200/H20</t>
        </is>
      </c>
      <c r="D24" s="2" t="n">
        <v>0.9429999999999999</v>
      </c>
      <c r="E24" s="2" t="n">
        <v>25</v>
      </c>
      <c r="F24" t="inlineStr">
        <is>
          <t>S</t>
        </is>
      </c>
      <c r="G24" s="2" t="n">
        <v>120</v>
      </c>
      <c r="H24">
        <f>D24/E24*1000</f>
        <v/>
      </c>
      <c r="I24">
        <f>D24*G24</f>
        <v/>
      </c>
      <c r="J24" t="inlineStr">
        <is>
          <t>KGI Fig.10</t>
        </is>
      </c>
    </row>
    <row r="25">
      <c r="A25" t="n">
        <v>2026</v>
      </c>
      <c r="B25" t="inlineStr">
        <is>
          <t>英伟达</t>
        </is>
      </c>
      <c r="C25" t="inlineStr">
        <is>
          <t>B200</t>
        </is>
      </c>
      <c r="D25" s="2" t="n">
        <v>1.128</v>
      </c>
      <c r="E25" s="2" t="n">
        <v>14</v>
      </c>
      <c r="F25" t="inlineStr">
        <is>
          <t>L</t>
        </is>
      </c>
      <c r="G25" s="2" t="n">
        <v>192</v>
      </c>
      <c r="H25">
        <f>D25/E25*1000</f>
        <v/>
      </c>
      <c r="I25">
        <f>D25*G25</f>
        <v/>
      </c>
      <c r="J25" t="inlineStr">
        <is>
          <t>KGI Fig.10</t>
        </is>
      </c>
    </row>
    <row r="26">
      <c r="A26" t="n">
        <v>2026</v>
      </c>
      <c r="B26" t="inlineStr">
        <is>
          <t>英伟达</t>
        </is>
      </c>
      <c r="C26" t="inlineStr">
        <is>
          <t>B300</t>
        </is>
      </c>
      <c r="D26" s="2" t="n">
        <v>4.514</v>
      </c>
      <c r="E26" s="2" t="n">
        <v>12</v>
      </c>
      <c r="F26" t="inlineStr">
        <is>
          <t>L</t>
        </is>
      </c>
      <c r="G26" s="2" t="n">
        <v>288</v>
      </c>
      <c r="H26">
        <f>D26/E26*1000</f>
        <v/>
      </c>
      <c r="I26">
        <f>D26*G26</f>
        <v/>
      </c>
      <c r="J26" t="inlineStr">
        <is>
          <t>KGI Fig.10</t>
        </is>
      </c>
    </row>
    <row r="27">
      <c r="A27" t="n">
        <v>2026</v>
      </c>
      <c r="B27" t="inlineStr">
        <is>
          <t>英伟达</t>
        </is>
      </c>
      <c r="C27" t="inlineStr">
        <is>
          <t>Rubin</t>
        </is>
      </c>
      <c r="D27" s="2" t="n">
        <v>1.95</v>
      </c>
      <c r="E27" s="2" t="n">
        <v>9</v>
      </c>
      <c r="F27" t="inlineStr">
        <is>
          <t>L</t>
        </is>
      </c>
      <c r="G27" s="2" t="n">
        <v>288</v>
      </c>
      <c r="H27">
        <f>D27/E27*1000</f>
        <v/>
      </c>
      <c r="I27">
        <f>D27*G27</f>
        <v/>
      </c>
      <c r="J27" t="inlineStr">
        <is>
          <t>KGI Fig.10</t>
        </is>
      </c>
    </row>
    <row r="28">
      <c r="A28" t="n">
        <v>2026</v>
      </c>
      <c r="B28" t="inlineStr">
        <is>
          <t>英伟达</t>
        </is>
      </c>
      <c r="C28" t="inlineStr">
        <is>
          <t>Vera CPU</t>
        </is>
      </c>
      <c r="D28" s="2" t="n">
        <v>2</v>
      </c>
      <c r="E28" s="2" t="n">
        <v>45</v>
      </c>
      <c r="F28" t="inlineStr">
        <is>
          <t>R</t>
        </is>
      </c>
      <c r="G28" s="2" t="n">
        <v>0</v>
      </c>
      <c r="H28">
        <f>D28/E28*1000</f>
        <v/>
      </c>
      <c r="I28">
        <f>D28*G28</f>
        <v/>
      </c>
      <c r="J28" t="inlineStr">
        <is>
          <t>KGI 正文</t>
        </is>
      </c>
    </row>
    <row r="29">
      <c r="A29" t="n">
        <v>2026</v>
      </c>
      <c r="B29" t="inlineStr">
        <is>
          <t>AMD</t>
        </is>
      </c>
      <c r="C29" t="inlineStr">
        <is>
          <t>MI355/MI450</t>
        </is>
      </c>
      <c r="D29" s="2" t="n">
        <v>1.152</v>
      </c>
      <c r="E29" s="2" t="n">
        <v>11</v>
      </c>
      <c r="F29" t="inlineStr">
        <is>
          <t>S</t>
        </is>
      </c>
      <c r="G29" s="2" t="n">
        <v>320</v>
      </c>
      <c r="H29">
        <f>D29/E29*1000</f>
        <v/>
      </c>
      <c r="I29">
        <f>D29*G29</f>
        <v/>
      </c>
      <c r="J29" t="inlineStr">
        <is>
          <t>KGI Fig.10</t>
        </is>
      </c>
    </row>
    <row r="30">
      <c r="A30" t="n">
        <v>2026</v>
      </c>
      <c r="B30" t="inlineStr">
        <is>
          <t>其他GPU</t>
        </is>
      </c>
      <c r="C30" t="inlineStr">
        <is>
          <t>其他</t>
        </is>
      </c>
      <c r="D30" s="2" t="n">
        <v>0.55</v>
      </c>
      <c r="E30" s="2" t="n">
        <v>25</v>
      </c>
      <c r="F30" t="inlineStr">
        <is>
          <t>S</t>
        </is>
      </c>
      <c r="G30" s="2" t="n">
        <v>96</v>
      </c>
      <c r="H30">
        <f>D30/E30*1000</f>
        <v/>
      </c>
      <c r="I30">
        <f>D30*G30</f>
        <v/>
      </c>
      <c r="J30" t="inlineStr">
        <is>
          <t>KGI Fig.10</t>
        </is>
      </c>
    </row>
    <row r="31">
      <c r="A31" t="n">
        <v>2026</v>
      </c>
      <c r="B31" t="inlineStr">
        <is>
          <t>谷歌TPU</t>
        </is>
      </c>
      <c r="C31" t="inlineStr">
        <is>
          <t>Ironwood(v7)</t>
        </is>
      </c>
      <c r="D31" s="2" t="n">
        <v>4.02</v>
      </c>
      <c r="E31" s="2" t="n">
        <v>20</v>
      </c>
      <c r="F31" t="inlineStr">
        <is>
          <t>S</t>
        </is>
      </c>
      <c r="G31" s="2" t="n">
        <v>192</v>
      </c>
      <c r="H31">
        <f>D31/E31*1000</f>
        <v/>
      </c>
      <c r="I31">
        <f>D31*G31</f>
        <v/>
      </c>
      <c r="J31" t="inlineStr">
        <is>
          <t>KGI Fig.10</t>
        </is>
      </c>
    </row>
    <row r="32">
      <c r="A32" t="n">
        <v>2026</v>
      </c>
      <c r="B32" t="inlineStr">
        <is>
          <t>AWS</t>
        </is>
      </c>
      <c r="C32" t="inlineStr">
        <is>
          <t>Trainium2/3</t>
        </is>
      </c>
      <c r="D32" s="2" t="n">
        <v>2.428</v>
      </c>
      <c r="E32" s="2" t="n">
        <v>24</v>
      </c>
      <c r="F32" t="inlineStr">
        <is>
          <t>R</t>
        </is>
      </c>
      <c r="G32" s="2" t="n">
        <v>120</v>
      </c>
      <c r="H32">
        <f>D32/E32*1000</f>
        <v/>
      </c>
      <c r="I32">
        <f>D32*G32</f>
        <v/>
      </c>
      <c r="J32" t="inlineStr">
        <is>
          <t>KGI Fig.10</t>
        </is>
      </c>
    </row>
    <row r="33">
      <c r="A33" t="n">
        <v>2026</v>
      </c>
      <c r="B33" t="inlineStr">
        <is>
          <t>其他ASIC</t>
        </is>
      </c>
      <c r="C33" t="inlineStr">
        <is>
          <t>MTIA/Maia/OpenAI/其他</t>
        </is>
      </c>
      <c r="D33" s="2" t="n">
        <v>1.084</v>
      </c>
      <c r="E33" s="2" t="n">
        <v>22</v>
      </c>
      <c r="F33" t="inlineStr">
        <is>
          <t>S</t>
        </is>
      </c>
      <c r="G33" s="2" t="n">
        <v>150</v>
      </c>
      <c r="H33">
        <f>D33/E33*1000</f>
        <v/>
      </c>
      <c r="I33">
        <f>D33*G33</f>
        <v/>
      </c>
      <c r="J33" t="inlineStr">
        <is>
          <t>KGI Fig.10</t>
        </is>
      </c>
    </row>
    <row r="34">
      <c r="A34" t="n">
        <v>2027</v>
      </c>
      <c r="B34" t="inlineStr">
        <is>
          <t>英伟达</t>
        </is>
      </c>
      <c r="C34" t="inlineStr">
        <is>
          <t>B300</t>
        </is>
      </c>
      <c r="D34" s="2" t="n">
        <v>0.266</v>
      </c>
      <c r="E34" s="2" t="n">
        <v>13</v>
      </c>
      <c r="F34" t="inlineStr">
        <is>
          <t>L</t>
        </is>
      </c>
      <c r="G34" s="2" t="n">
        <v>288</v>
      </c>
      <c r="H34">
        <f>D34/E34*1000</f>
        <v/>
      </c>
      <c r="I34">
        <f>D34*G34</f>
        <v/>
      </c>
      <c r="J34" t="inlineStr">
        <is>
          <t>KGI Fig.10</t>
        </is>
      </c>
    </row>
    <row r="35">
      <c r="A35" t="n">
        <v>2027</v>
      </c>
      <c r="B35" t="inlineStr">
        <is>
          <t>英伟达</t>
        </is>
      </c>
      <c r="C35" t="inlineStr">
        <is>
          <t>Rubin</t>
        </is>
      </c>
      <c r="D35" s="2" t="n">
        <v>5.89</v>
      </c>
      <c r="E35" s="2" t="n">
        <v>10</v>
      </c>
      <c r="F35" t="inlineStr">
        <is>
          <t>L</t>
        </is>
      </c>
      <c r="G35" s="2" t="n">
        <v>288</v>
      </c>
      <c r="H35">
        <f>D35/E35*1000</f>
        <v/>
      </c>
      <c r="I35">
        <f>D35*G35</f>
        <v/>
      </c>
      <c r="J35" t="inlineStr">
        <is>
          <t>KGI Fig.10</t>
        </is>
      </c>
    </row>
    <row r="36">
      <c r="A36" t="n">
        <v>2027</v>
      </c>
      <c r="B36" t="inlineStr">
        <is>
          <t>英伟达</t>
        </is>
      </c>
      <c r="C36" t="inlineStr">
        <is>
          <t>Rubin Ultra</t>
        </is>
      </c>
      <c r="D36" s="2" t="n">
        <v>2.85</v>
      </c>
      <c r="E36" s="2" t="n">
        <v>6</v>
      </c>
      <c r="F36" t="inlineStr">
        <is>
          <t>L</t>
        </is>
      </c>
      <c r="G36" s="2" t="n">
        <v>256</v>
      </c>
      <c r="H36">
        <f>D36/E36*1000</f>
        <v/>
      </c>
      <c r="I36">
        <f>D36*G36</f>
        <v/>
      </c>
      <c r="J36" t="inlineStr">
        <is>
          <t>KGI Fig.10</t>
        </is>
      </c>
    </row>
    <row r="37">
      <c r="A37" t="n">
        <v>2027</v>
      </c>
      <c r="B37" t="inlineStr">
        <is>
          <t>英伟达</t>
        </is>
      </c>
      <c r="C37" t="inlineStr">
        <is>
          <t>Vera CPU</t>
        </is>
      </c>
      <c r="D37" s="2" t="n">
        <v>6</v>
      </c>
      <c r="E37" s="2" t="n">
        <v>45</v>
      </c>
      <c r="F37" t="inlineStr">
        <is>
          <t>R</t>
        </is>
      </c>
      <c r="G37" s="2" t="n">
        <v>0</v>
      </c>
      <c r="H37">
        <f>D37/E37*1000</f>
        <v/>
      </c>
      <c r="I37">
        <f>D37*G37</f>
        <v/>
      </c>
      <c r="J37" t="inlineStr">
        <is>
          <t>KGI 正文</t>
        </is>
      </c>
    </row>
    <row r="38">
      <c r="A38" t="n">
        <v>2027</v>
      </c>
      <c r="B38" t="inlineStr">
        <is>
          <t>AMD</t>
        </is>
      </c>
      <c r="C38" t="inlineStr">
        <is>
          <t>MI450/MI455</t>
        </is>
      </c>
      <c r="D38" s="2" t="n">
        <v>1.68</v>
      </c>
      <c r="E38" s="2" t="n">
        <v>9</v>
      </c>
      <c r="F38" t="inlineStr">
        <is>
          <t>L</t>
        </is>
      </c>
      <c r="G38" s="2" t="n">
        <v>432</v>
      </c>
      <c r="H38">
        <f>D38/E38*1000</f>
        <v/>
      </c>
      <c r="I38">
        <f>D38*G38</f>
        <v/>
      </c>
      <c r="J38" t="inlineStr">
        <is>
          <t>KGI Fig.10</t>
        </is>
      </c>
    </row>
    <row r="39">
      <c r="A39" t="n">
        <v>2027</v>
      </c>
      <c r="B39" t="inlineStr">
        <is>
          <t>AMD</t>
        </is>
      </c>
      <c r="C39" t="inlineStr">
        <is>
          <t>Venice CPU</t>
        </is>
      </c>
      <c r="D39" s="2" t="n">
        <v>4.75</v>
      </c>
      <c r="E39" s="2" t="n">
        <v>25</v>
      </c>
      <c r="F39" t="inlineStr">
        <is>
          <t>B</t>
        </is>
      </c>
      <c r="G39" s="2" t="n">
        <v>0</v>
      </c>
      <c r="H39">
        <f>D39/E39*1000</f>
        <v/>
      </c>
      <c r="I39">
        <f>D39*G39</f>
        <v/>
      </c>
      <c r="J39" t="inlineStr">
        <is>
          <t>KGI 正文(4.5–5.0M)</t>
        </is>
      </c>
    </row>
    <row r="40">
      <c r="A40" t="n">
        <v>2027</v>
      </c>
      <c r="B40" t="inlineStr">
        <is>
          <t>其他GPU</t>
        </is>
      </c>
      <c r="C40" t="inlineStr">
        <is>
          <t>其他</t>
        </is>
      </c>
      <c r="D40" s="2" t="n">
        <v>0.6</v>
      </c>
      <c r="E40" s="2" t="n">
        <v>25</v>
      </c>
      <c r="F40" t="inlineStr">
        <is>
          <t>S</t>
        </is>
      </c>
      <c r="G40" s="2" t="n">
        <v>96</v>
      </c>
      <c r="H40">
        <f>D40/E40*1000</f>
        <v/>
      </c>
      <c r="I40">
        <f>D40*G40</f>
        <v/>
      </c>
      <c r="J40" t="inlineStr">
        <is>
          <t>KGI Fig.10</t>
        </is>
      </c>
    </row>
    <row r="41">
      <c r="A41" t="n">
        <v>2027</v>
      </c>
      <c r="B41" t="inlineStr">
        <is>
          <t>谷歌TPU</t>
        </is>
      </c>
      <c r="C41" t="inlineStr">
        <is>
          <t>v8i Sunfish + v8t Zebrafish</t>
        </is>
      </c>
      <c r="D41" s="2" t="n">
        <v>9.103999999999999</v>
      </c>
      <c r="E41" s="2" t="n">
        <v>17</v>
      </c>
      <c r="F41" t="inlineStr">
        <is>
          <t>S</t>
        </is>
      </c>
      <c r="G41" s="2" t="n">
        <v>260</v>
      </c>
      <c r="H41">
        <f>D41/E41*1000</f>
        <v/>
      </c>
      <c r="I41">
        <f>D41*G41</f>
        <v/>
      </c>
      <c r="J41" t="inlineStr">
        <is>
          <t>KGI Fig.10</t>
        </is>
      </c>
    </row>
    <row r="42">
      <c r="A42" t="n">
        <v>2027</v>
      </c>
      <c r="B42" t="inlineStr">
        <is>
          <t>AWS</t>
        </is>
      </c>
      <c r="C42" t="inlineStr">
        <is>
          <t>Trainium3</t>
        </is>
      </c>
      <c r="D42" s="2" t="n">
        <v>3.06</v>
      </c>
      <c r="E42" s="2" t="n">
        <v>24</v>
      </c>
      <c r="F42" t="inlineStr">
        <is>
          <t>R</t>
        </is>
      </c>
      <c r="G42" s="2" t="n">
        <v>144</v>
      </c>
      <c r="H42">
        <f>D42/E42*1000</f>
        <v/>
      </c>
      <c r="I42">
        <f>D42*G42</f>
        <v/>
      </c>
      <c r="J42" t="inlineStr">
        <is>
          <t>KGI Fig.10</t>
        </is>
      </c>
    </row>
    <row r="43">
      <c r="A43" t="n">
        <v>2027</v>
      </c>
      <c r="B43" t="inlineStr">
        <is>
          <t>其他ASIC</t>
        </is>
      </c>
      <c r="C43" t="inlineStr">
        <is>
          <t>Maia/MTIA/OpenAI/其他</t>
        </is>
      </c>
      <c r="D43" s="2" t="n">
        <v>2.3</v>
      </c>
      <c r="E43" s="2" t="n">
        <v>20</v>
      </c>
      <c r="F43" t="inlineStr">
        <is>
          <t>S</t>
        </is>
      </c>
      <c r="G43" s="2" t="n">
        <v>200</v>
      </c>
      <c r="H43">
        <f>D43/E43*1000</f>
        <v/>
      </c>
      <c r="I43">
        <f>D43*G43</f>
        <v/>
      </c>
      <c r="J43" t="inlineStr">
        <is>
          <t>KGI Fig.10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其他需求(千片)</t>
        </is>
      </c>
      <c r="C1" s="1" t="inlineStr">
        <is>
          <t>TSMC年末(千片/月)</t>
        </is>
      </c>
      <c r="D1" s="1" t="inlineStr">
        <is>
          <t>非TSMC年末(千片/月)</t>
        </is>
      </c>
      <c r="E1" s="1" t="inlineStr">
        <is>
          <t>有效稼动率</t>
        </is>
      </c>
    </row>
    <row r="2">
      <c r="A2" t="n">
        <v>2022</v>
      </c>
      <c r="B2" s="2" t="n">
        <v>0</v>
      </c>
      <c r="C2" s="2" t="n">
        <v>8</v>
      </c>
      <c r="D2" s="2" t="n">
        <v>0</v>
      </c>
      <c r="E2" s="2" t="n">
        <v>0.95</v>
      </c>
    </row>
    <row r="3">
      <c r="A3" t="n">
        <v>2023</v>
      </c>
      <c r="B3" s="2" t="n">
        <v>15</v>
      </c>
      <c r="C3" s="2" t="n">
        <v>13</v>
      </c>
      <c r="D3" s="2" t="n">
        <v>2</v>
      </c>
      <c r="E3" s="2" t="n">
        <v>0.95</v>
      </c>
    </row>
    <row r="4">
      <c r="A4" t="n">
        <v>2024</v>
      </c>
      <c r="B4" s="2" t="n">
        <v>30</v>
      </c>
      <c r="C4" s="2" t="n">
        <v>34</v>
      </c>
      <c r="D4" s="2" t="n">
        <v>5</v>
      </c>
      <c r="E4" s="2" t="n">
        <v>0.95</v>
      </c>
    </row>
    <row r="5">
      <c r="A5" t="n">
        <v>2025</v>
      </c>
      <c r="B5" s="2" t="n">
        <v>60</v>
      </c>
      <c r="C5" s="2" t="n">
        <v>72</v>
      </c>
      <c r="D5" s="2" t="n">
        <v>17</v>
      </c>
      <c r="E5" s="2" t="n">
        <v>0.95</v>
      </c>
    </row>
    <row r="6">
      <c r="A6" t="n">
        <v>2026</v>
      </c>
      <c r="B6" s="2" t="n">
        <v>90</v>
      </c>
      <c r="C6" s="2" t="n">
        <v>120</v>
      </c>
      <c r="D6" s="2" t="n">
        <v>35</v>
      </c>
      <c r="E6" s="2" t="n">
        <v>0.95</v>
      </c>
    </row>
    <row r="7">
      <c r="A7" t="n">
        <v>2027</v>
      </c>
      <c r="B7" s="2" t="n">
        <v>150</v>
      </c>
      <c r="C7" s="2" t="n">
        <v>185</v>
      </c>
      <c r="D7" s="2" t="n">
        <v>80</v>
      </c>
      <c r="E7" s="2" t="n">
        <v>0.95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需求(千片)</t>
        </is>
      </c>
      <c r="C1" s="1" t="inlineStr">
        <is>
          <t>供给(千片)</t>
        </is>
      </c>
      <c r="D1" s="1" t="inlineStr">
        <is>
          <t>缺口(供-需)</t>
        </is>
      </c>
      <c r="E1" s="1" t="inlineStr">
        <is>
          <t>缺口/需求</t>
        </is>
      </c>
      <c r="F1" s="1" t="inlineStr">
        <is>
          <t>隐含HBM需求(EB)</t>
        </is>
      </c>
    </row>
    <row r="2">
      <c r="A2" t="n">
        <v>2023</v>
      </c>
      <c r="B2">
        <f>SUMIF(需求!A2:A43,A2,需求!H2:H43)+其他与供给!B3</f>
        <v/>
      </c>
      <c r="C2">
        <f>(12*(其他与供给!C2+其他与供给!D2)+((其他与供给!C3-其他与供给!C2)+(其他与供给!D3-其他与供给!D2))*78/12)*其他与供给!E3</f>
        <v/>
      </c>
      <c r="D2">
        <f>C2-B2</f>
        <v/>
      </c>
      <c r="E2">
        <f>D2/B2</f>
        <v/>
      </c>
      <c r="F2">
        <f>SUMIF(需求!A2:A43,A2,需求!I2:I43)/1000</f>
        <v/>
      </c>
    </row>
    <row r="3">
      <c r="A3" t="n">
        <v>2024</v>
      </c>
      <c r="B3">
        <f>SUMIF(需求!A2:A43,A3,需求!H2:H43)+其他与供给!B4</f>
        <v/>
      </c>
      <c r="C3">
        <f>(12*(其他与供给!C3+其他与供给!D3)+((其他与供给!C4-其他与供给!C3)+(其他与供给!D4-其他与供给!D3))*78/12)*其他与供给!E4</f>
        <v/>
      </c>
      <c r="D3">
        <f>C3-B3</f>
        <v/>
      </c>
      <c r="E3">
        <f>D3/B3</f>
        <v/>
      </c>
      <c r="F3">
        <f>SUMIF(需求!A2:A43,A3,需求!I2:I43)/1000</f>
        <v/>
      </c>
    </row>
    <row r="4">
      <c r="A4" t="n">
        <v>2025</v>
      </c>
      <c r="B4">
        <f>SUMIF(需求!A2:A43,A4,需求!H2:H43)+其他与供给!B5</f>
        <v/>
      </c>
      <c r="C4">
        <f>(12*(其他与供给!C4+其他与供给!D4)+((其他与供给!C5-其他与供给!C4)+(其他与供给!D5-其他与供给!D4))*78/12)*其他与供给!E5</f>
        <v/>
      </c>
      <c r="D4">
        <f>C4-B4</f>
        <v/>
      </c>
      <c r="E4">
        <f>D4/B4</f>
        <v/>
      </c>
      <c r="F4">
        <f>SUMIF(需求!A2:A43,A4,需求!I2:I43)/1000</f>
        <v/>
      </c>
    </row>
    <row r="5">
      <c r="A5" t="n">
        <v>2026</v>
      </c>
      <c r="B5">
        <f>SUMIF(需求!A2:A43,A5,需求!H2:H43)+其他与供给!B6</f>
        <v/>
      </c>
      <c r="C5">
        <f>(12*(其他与供给!C5+其他与供给!D5)+((其他与供给!C6-其他与供给!C5)+(其他与供给!D6-其他与供给!D5))*78/12)*其他与供给!E6</f>
        <v/>
      </c>
      <c r="D5">
        <f>C5-B5</f>
        <v/>
      </c>
      <c r="E5">
        <f>D5/B5</f>
        <v/>
      </c>
      <c r="F5">
        <f>SUMIF(需求!A2:A43,A5,需求!I2:I43)/1000</f>
        <v/>
      </c>
    </row>
    <row r="6">
      <c r="A6" t="n">
        <v>2027</v>
      </c>
      <c r="B6">
        <f>SUMIF(需求!A2:A43,A6,需求!H2:H43)+其他与供给!B7</f>
        <v/>
      </c>
      <c r="C6">
        <f>(12*(其他与供给!C6+其他与供给!D6)+((其他与供给!C7-其他与供给!C6)+(其他与供给!D7-其他与供给!D6))*78/12)*其他与供给!E7</f>
        <v/>
      </c>
      <c r="D6">
        <f>C6-B6</f>
        <v/>
      </c>
      <c r="E6">
        <f>D6/B6</f>
        <v/>
      </c>
      <c r="F6">
        <f>SUMIF(需求!A2:A43,A6,需求!I2:I43)/1000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季度</t>
        </is>
      </c>
      <c r="B1" s="1" t="inlineStr">
        <is>
          <t>TSMC(千片/月)</t>
        </is>
      </c>
      <c r="C1" s="1" t="inlineStr">
        <is>
          <t>非TSMC(千片/月)</t>
        </is>
      </c>
      <c r="D1" s="1" t="inlineStr">
        <is>
          <t>合计</t>
        </is>
      </c>
      <c r="E1" s="1" t="inlineStr">
        <is>
          <t>类型</t>
        </is>
      </c>
    </row>
    <row r="2">
      <c r="A2" t="inlineStr">
        <is>
          <t>2023Q1</t>
        </is>
      </c>
      <c r="B2" t="n">
        <v>9.199999999999999</v>
      </c>
      <c r="C2" t="n">
        <v>0.5</v>
      </c>
      <c r="D2" t="n">
        <v>9.699999999999999</v>
      </c>
      <c r="E2" t="inlineStr">
        <is>
          <t>插值(估)</t>
        </is>
      </c>
    </row>
    <row r="3">
      <c r="A3" t="inlineStr">
        <is>
          <t>2023Q2</t>
        </is>
      </c>
      <c r="B3" t="n">
        <v>10.5</v>
      </c>
      <c r="C3" t="n">
        <v>1</v>
      </c>
      <c r="D3" t="n">
        <v>11.5</v>
      </c>
      <c r="E3" t="inlineStr">
        <is>
          <t>插值(估)</t>
        </is>
      </c>
    </row>
    <row r="4">
      <c r="A4" t="inlineStr">
        <is>
          <t>2023Q3</t>
        </is>
      </c>
      <c r="B4" t="n">
        <v>11.8</v>
      </c>
      <c r="C4" t="n">
        <v>1.5</v>
      </c>
      <c r="D4" t="n">
        <v>13.3</v>
      </c>
      <c r="E4" t="inlineStr">
        <is>
          <t>插值(估)</t>
        </is>
      </c>
    </row>
    <row r="5">
      <c r="A5" t="inlineStr">
        <is>
          <t>2023Q4</t>
        </is>
      </c>
      <c r="B5" t="n">
        <v>13</v>
      </c>
      <c r="C5" t="n">
        <v>2</v>
      </c>
      <c r="D5" t="n">
        <v>15</v>
      </c>
      <c r="E5" t="inlineStr">
        <is>
          <t>锚点</t>
        </is>
      </c>
    </row>
    <row r="6">
      <c r="A6" t="inlineStr">
        <is>
          <t>2024Q1</t>
        </is>
      </c>
      <c r="B6" t="n">
        <v>18.2</v>
      </c>
      <c r="C6" t="n">
        <v>2.8</v>
      </c>
      <c r="D6" t="n">
        <v>21</v>
      </c>
      <c r="E6" t="inlineStr">
        <is>
          <t>插值(估)</t>
        </is>
      </c>
    </row>
    <row r="7">
      <c r="A7" t="inlineStr">
        <is>
          <t>2024Q2</t>
        </is>
      </c>
      <c r="B7" t="n">
        <v>23.5</v>
      </c>
      <c r="C7" t="n">
        <v>3.5</v>
      </c>
      <c r="D7" t="n">
        <v>27</v>
      </c>
      <c r="E7" t="inlineStr">
        <is>
          <t>插值(估)</t>
        </is>
      </c>
    </row>
    <row r="8">
      <c r="A8" t="inlineStr">
        <is>
          <t>2024Q3</t>
        </is>
      </c>
      <c r="B8" t="n">
        <v>28.8</v>
      </c>
      <c r="C8" t="n">
        <v>4.2</v>
      </c>
      <c r="D8" t="n">
        <v>33</v>
      </c>
      <c r="E8" t="inlineStr">
        <is>
          <t>插值(估)</t>
        </is>
      </c>
    </row>
    <row r="9">
      <c r="A9" t="inlineStr">
        <is>
          <t>2024Q4</t>
        </is>
      </c>
      <c r="B9" t="n">
        <v>34</v>
      </c>
      <c r="C9" t="n">
        <v>5</v>
      </c>
      <c r="D9" t="n">
        <v>39</v>
      </c>
      <c r="E9" t="inlineStr">
        <is>
          <t>锚点</t>
        </is>
      </c>
    </row>
    <row r="10">
      <c r="A10" t="inlineStr">
        <is>
          <t>2025Q1</t>
        </is>
      </c>
      <c r="B10" t="n">
        <v>43.5</v>
      </c>
      <c r="C10" t="n">
        <v>8</v>
      </c>
      <c r="D10" t="n">
        <v>51.5</v>
      </c>
      <c r="E10" t="inlineStr">
        <is>
          <t>插值(估)</t>
        </is>
      </c>
    </row>
    <row r="11">
      <c r="A11" t="inlineStr">
        <is>
          <t>2025Q2</t>
        </is>
      </c>
      <c r="B11" t="n">
        <v>53</v>
      </c>
      <c r="C11" t="n">
        <v>11</v>
      </c>
      <c r="D11" t="n">
        <v>64</v>
      </c>
      <c r="E11" t="inlineStr">
        <is>
          <t>插值(估)</t>
        </is>
      </c>
    </row>
    <row r="12">
      <c r="A12" t="inlineStr">
        <is>
          <t>2025Q3</t>
        </is>
      </c>
      <c r="B12" t="n">
        <v>62.5</v>
      </c>
      <c r="C12" t="n">
        <v>14</v>
      </c>
      <c r="D12" t="n">
        <v>76.5</v>
      </c>
      <c r="E12" t="inlineStr">
        <is>
          <t>插值(估)</t>
        </is>
      </c>
    </row>
    <row r="13">
      <c r="A13" t="inlineStr">
        <is>
          <t>2025Q4</t>
        </is>
      </c>
      <c r="B13" t="n">
        <v>72</v>
      </c>
      <c r="C13" t="n">
        <v>17</v>
      </c>
      <c r="D13" t="n">
        <v>89</v>
      </c>
      <c r="E13" t="inlineStr">
        <is>
          <t>锚点</t>
        </is>
      </c>
    </row>
    <row r="14">
      <c r="A14" t="inlineStr">
        <is>
          <t>2026Q1</t>
        </is>
      </c>
      <c r="B14" t="n">
        <v>84</v>
      </c>
      <c r="C14" t="n">
        <v>21.5</v>
      </c>
      <c r="D14" t="n">
        <v>105.5</v>
      </c>
      <c r="E14" t="inlineStr">
        <is>
          <t>插值(估)</t>
        </is>
      </c>
    </row>
    <row r="15">
      <c r="A15" t="inlineStr">
        <is>
          <t>2026Q2</t>
        </is>
      </c>
      <c r="B15" t="n">
        <v>96</v>
      </c>
      <c r="C15" t="n">
        <v>26</v>
      </c>
      <c r="D15" t="n">
        <v>122</v>
      </c>
      <c r="E15" t="inlineStr">
        <is>
          <t>插值(估)</t>
        </is>
      </c>
    </row>
    <row r="16">
      <c r="A16" t="inlineStr">
        <is>
          <t>2026Q3</t>
        </is>
      </c>
      <c r="B16" t="n">
        <v>108</v>
      </c>
      <c r="C16" t="n">
        <v>30.5</v>
      </c>
      <c r="D16" t="n">
        <v>138.5</v>
      </c>
      <c r="E16" t="inlineStr">
        <is>
          <t>插值(估)</t>
        </is>
      </c>
    </row>
    <row r="17">
      <c r="A17" t="inlineStr">
        <is>
          <t>2026Q4</t>
        </is>
      </c>
      <c r="B17" t="n">
        <v>120</v>
      </c>
      <c r="C17" t="n">
        <v>35</v>
      </c>
      <c r="D17" t="n">
        <v>155</v>
      </c>
      <c r="E17" t="inlineStr">
        <is>
          <t>锚点</t>
        </is>
      </c>
    </row>
    <row r="18">
      <c r="A18" t="inlineStr">
        <is>
          <t>2027Q1</t>
        </is>
      </c>
      <c r="B18" t="n">
        <v>136.2</v>
      </c>
      <c r="C18" t="n">
        <v>46.2</v>
      </c>
      <c r="D18" t="n">
        <v>182.4</v>
      </c>
      <c r="E18" t="inlineStr">
        <is>
          <t>插值(估)</t>
        </is>
      </c>
    </row>
    <row r="19">
      <c r="A19" t="inlineStr">
        <is>
          <t>2027Q2</t>
        </is>
      </c>
      <c r="B19" t="n">
        <v>152.5</v>
      </c>
      <c r="C19" t="n">
        <v>57.5</v>
      </c>
      <c r="D19" t="n">
        <v>210</v>
      </c>
      <c r="E19" t="inlineStr">
        <is>
          <t>插值(估)</t>
        </is>
      </c>
    </row>
    <row r="20">
      <c r="A20" t="inlineStr">
        <is>
          <t>2027Q3</t>
        </is>
      </c>
      <c r="B20" t="n">
        <v>168.8</v>
      </c>
      <c r="C20" t="n">
        <v>68.8</v>
      </c>
      <c r="D20" t="n">
        <v>237.6</v>
      </c>
      <c r="E20" t="inlineStr">
        <is>
          <t>插值(估)</t>
        </is>
      </c>
    </row>
    <row r="21">
      <c r="A21" t="inlineStr">
        <is>
          <t>2027Q4</t>
        </is>
      </c>
      <c r="B21" t="n">
        <v>185</v>
      </c>
      <c r="C21" t="n">
        <v>80</v>
      </c>
      <c r="D21" t="n">
        <v>265</v>
      </c>
      <c r="E21" t="inlineStr">
        <is>
          <t>锚点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v0.4.3：1 片 CoWoS-S 晶圆 = 1 片良品硅中介层晶圆；L/EFB 按每片 0.05 片硅桥折算；R 型不用硅。单位：千片 12 寸/年（需求、供给）与千片/月（年末产能）。估=自估</t>
        </is>
      </c>
    </row>
    <row r="2">
      <c r="A2" s="1" t="inlineStr">
        <is>
          <t>年份</t>
        </is>
      </c>
      <c r="B2" s="1" t="inlineStr">
        <is>
          <t>S 型片数</t>
        </is>
      </c>
      <c r="C2" s="1" t="inlineStr">
        <is>
          <t>S 型颗数(百万)</t>
        </is>
      </c>
      <c r="D2" s="1" t="inlineStr">
        <is>
          <t>硅桥折算</t>
        </is>
      </c>
      <c r="E2" s="1" t="inlineStr">
        <is>
          <t>其他(交换芯片)</t>
        </is>
      </c>
      <c r="F2" s="1" t="inlineStr">
        <is>
          <t>中介层需求</t>
        </is>
      </c>
      <c r="G2" s="1" t="inlineStr">
        <is>
          <t>年末产能(千片/月)</t>
        </is>
      </c>
      <c r="H2" s="1" t="inlineStr">
        <is>
          <t>其中台积电</t>
        </is>
      </c>
      <c r="I2" s="1" t="inlineStr">
        <is>
          <t>联电</t>
        </is>
      </c>
      <c r="J2" s="1" t="inlineStr">
        <is>
          <t>其他/格罗方德</t>
        </is>
      </c>
      <c r="K2" s="1" t="inlineStr">
        <is>
          <t>良品供给(千片/年)</t>
        </is>
      </c>
      <c r="L2" s="1" t="inlineStr">
        <is>
          <t>余量%</t>
        </is>
      </c>
    </row>
    <row r="3">
      <c r="A3" t="n">
        <v>2023</v>
      </c>
      <c r="B3" t="n">
        <v>134</v>
      </c>
      <c r="C3" t="n">
        <v>3.904</v>
      </c>
      <c r="D3" t="n">
        <v>0</v>
      </c>
      <c r="E3" t="n">
        <v>9</v>
      </c>
      <c r="F3" t="n">
        <v>143</v>
      </c>
      <c r="G3" t="n">
        <v>16</v>
      </c>
      <c r="H3" t="n">
        <v>13</v>
      </c>
      <c r="I3" t="n">
        <v>3</v>
      </c>
      <c r="J3" t="n">
        <v>0</v>
      </c>
      <c r="K3" t="n">
        <v>151.6</v>
      </c>
      <c r="L3" t="n">
        <v>6</v>
      </c>
    </row>
    <row r="4">
      <c r="A4" t="n">
        <v>2024</v>
      </c>
      <c r="B4" t="n">
        <v>302.1</v>
      </c>
      <c r="C4" t="n">
        <v>8.182</v>
      </c>
      <c r="D4" t="n">
        <v>1.9</v>
      </c>
      <c r="E4" t="n">
        <v>18</v>
      </c>
      <c r="F4" t="n">
        <v>322</v>
      </c>
      <c r="G4" t="n">
        <v>41</v>
      </c>
      <c r="H4" t="n">
        <v>35</v>
      </c>
      <c r="I4" t="n">
        <v>6</v>
      </c>
      <c r="J4" t="n">
        <v>0</v>
      </c>
      <c r="K4" t="n">
        <v>326.7</v>
      </c>
      <c r="L4" t="n">
        <v>1.5</v>
      </c>
    </row>
    <row r="5">
      <c r="A5" t="n">
        <v>2025</v>
      </c>
      <c r="B5" t="n">
        <v>318.7</v>
      </c>
      <c r="C5" t="n">
        <v>6.842</v>
      </c>
      <c r="D5" t="n">
        <v>16.9</v>
      </c>
      <c r="E5" t="n">
        <v>36</v>
      </c>
      <c r="F5" t="n">
        <v>371.6</v>
      </c>
      <c r="G5" t="n">
        <v>41</v>
      </c>
      <c r="H5" t="n">
        <v>35</v>
      </c>
      <c r="I5" t="n">
        <v>6</v>
      </c>
      <c r="J5" t="n">
        <v>0</v>
      </c>
      <c r="K5" t="n">
        <v>453.4</v>
      </c>
      <c r="L5" t="n">
        <v>22</v>
      </c>
    </row>
    <row r="6">
      <c r="A6" t="n">
        <v>2026</v>
      </c>
      <c r="B6" t="n">
        <v>390.1</v>
      </c>
      <c r="C6" t="n">
        <v>7.207</v>
      </c>
      <c r="D6" t="n">
        <v>34.9</v>
      </c>
      <c r="E6" t="n">
        <v>54</v>
      </c>
      <c r="F6" t="n">
        <v>479</v>
      </c>
      <c r="G6" t="n">
        <v>61</v>
      </c>
      <c r="H6" t="n">
        <v>55</v>
      </c>
      <c r="I6" t="n">
        <v>6</v>
      </c>
      <c r="J6" t="n">
        <v>0</v>
      </c>
      <c r="K6" t="n">
        <v>573.2</v>
      </c>
      <c r="L6" t="n">
        <v>19.7</v>
      </c>
    </row>
    <row r="7">
      <c r="A7" t="n">
        <v>2027</v>
      </c>
      <c r="B7" t="n">
        <v>617</v>
      </c>
      <c r="C7" t="n">
        <v>10.854</v>
      </c>
      <c r="D7" t="n">
        <v>75.90000000000001</v>
      </c>
      <c r="E7" t="n">
        <v>90</v>
      </c>
      <c r="F7" t="n">
        <v>783</v>
      </c>
      <c r="G7" t="n">
        <v>83</v>
      </c>
      <c r="H7" t="n">
        <v>75</v>
      </c>
      <c r="I7" t="n">
        <v>6</v>
      </c>
      <c r="J7" t="n">
        <v>2</v>
      </c>
      <c r="K7" t="n">
        <v>806.3</v>
      </c>
      <c r="L7" t="n">
        <v>3</v>
      </c>
    </row>
    <row r="8">
      <c r="A8" t="n">
        <v>2028</v>
      </c>
      <c r="G8" t="n">
        <v>91</v>
      </c>
      <c r="H8" t="n">
        <v>75</v>
      </c>
      <c r="I8" t="n">
        <v>6</v>
      </c>
      <c r="J8" t="n">
        <v>10</v>
      </c>
      <c r="K8" t="n">
        <v>965.7</v>
      </c>
    </row>
    <row r="10">
      <c r="A10" t="inlineStr">
        <is>
          <t>台积电 2024/2025 年末自制（校准）</t>
        </is>
      </c>
      <c r="B10" t="n">
        <v>35</v>
      </c>
    </row>
    <row r="11">
      <c r="A11" t="inlineStr">
        <is>
          <t>2027 年台积电自制新增的盈亏平衡（千片/月）</t>
        </is>
      </c>
      <c r="B11" t="n">
        <v>16.1</v>
      </c>
    </row>
    <row r="12">
      <c r="A12" t="inlineStr">
        <is>
          <t>2028 年中介层需求同比上限（%）</t>
        </is>
      </c>
      <c r="B12" t="n">
        <v>23.3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见 cowos_chain.md 附录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单位：百万颗 AI 加速器封装/季；算法见 toc.js / data/toc.json；除 CoWoS、HBM 外各环节规模为估计（含校准）；由 cowos/build.py 生成</t>
        </is>
      </c>
    </row>
    <row r="2">
      <c r="A2" s="1" t="inlineStr">
        <is>
          <t>季度</t>
        </is>
      </c>
      <c r="B2" s="1" t="inlineStr">
        <is>
          <t>需求</t>
        </is>
      </c>
      <c r="C2" s="1" t="inlineStr">
        <is>
          <t>CoWoS</t>
        </is>
      </c>
      <c r="D2" s="1" t="inlineStr">
        <is>
          <t>硅中介层</t>
        </is>
      </c>
      <c r="E2" s="1" t="inlineStr">
        <is>
          <t>HBM</t>
        </is>
      </c>
      <c r="F2" s="1" t="inlineStr">
        <is>
          <t>TC键合机</t>
        </is>
      </c>
      <c r="G2" s="1" t="inlineStr">
        <is>
          <t>ABF载板</t>
        </is>
      </c>
      <c r="H2" s="1" t="inlineStr">
        <is>
          <t>电力</t>
        </is>
      </c>
      <c r="I2" s="1" t="inlineStr">
        <is>
          <t>最小环节</t>
        </is>
      </c>
      <c r="J2" s="1" t="inlineStr">
        <is>
          <t>约束</t>
        </is>
      </c>
      <c r="K2" s="1" t="inlineStr">
        <is>
          <t>通过量</t>
        </is>
      </c>
    </row>
    <row r="3">
      <c r="A3" t="inlineStr">
        <is>
          <t>2024Q1</t>
        </is>
      </c>
      <c r="B3" t="n">
        <v>1.917</v>
      </c>
      <c r="C3" t="n">
        <v>1.341</v>
      </c>
      <c r="D3" t="n">
        <v>1.646</v>
      </c>
      <c r="E3" t="n">
        <v>1.47</v>
      </c>
      <c r="F3" t="n">
        <v>3.274</v>
      </c>
      <c r="G3" t="n">
        <v>2.109</v>
      </c>
      <c r="H3" t="n">
        <v>2.517</v>
      </c>
      <c r="I3" t="inlineStr">
        <is>
          <t>CoWoS</t>
        </is>
      </c>
      <c r="J3" t="inlineStr">
        <is>
          <t>CoWoS</t>
        </is>
      </c>
      <c r="K3" t="n">
        <v>1.341</v>
      </c>
    </row>
    <row r="4">
      <c r="A4" t="inlineStr">
        <is>
          <t>2024Q2</t>
        </is>
      </c>
      <c r="B4" t="n">
        <v>2.091</v>
      </c>
      <c r="C4" t="n">
        <v>1.779</v>
      </c>
      <c r="D4" t="n">
        <v>2.127</v>
      </c>
      <c r="E4" t="n">
        <v>1.79</v>
      </c>
      <c r="F4" t="n">
        <v>4.097</v>
      </c>
      <c r="G4" t="n">
        <v>2.3</v>
      </c>
      <c r="H4" t="n">
        <v>2.517</v>
      </c>
      <c r="I4" t="inlineStr">
        <is>
          <t>CoWoS</t>
        </is>
      </c>
      <c r="J4" t="inlineStr">
        <is>
          <t>CoWoS</t>
        </is>
      </c>
      <c r="K4" t="n">
        <v>1.779</v>
      </c>
    </row>
    <row r="5">
      <c r="A5" t="inlineStr">
        <is>
          <t>2024Q3</t>
        </is>
      </c>
      <c r="B5" t="n">
        <v>2.266</v>
      </c>
      <c r="C5" t="n">
        <v>2.217</v>
      </c>
      <c r="D5" t="n">
        <v>2.609</v>
      </c>
      <c r="E5" t="n">
        <v>2.749</v>
      </c>
      <c r="F5" t="n">
        <v>4.92</v>
      </c>
      <c r="G5" t="n">
        <v>2.492</v>
      </c>
      <c r="H5" t="n">
        <v>2.768</v>
      </c>
      <c r="I5" t="inlineStr">
        <is>
          <t>CoWoS</t>
        </is>
      </c>
      <c r="J5" t="inlineStr">
        <is>
          <t>CoWoS</t>
        </is>
      </c>
      <c r="K5" t="n">
        <v>2.217</v>
      </c>
    </row>
    <row r="6">
      <c r="A6" t="inlineStr">
        <is>
          <t>2024Q4</t>
        </is>
      </c>
      <c r="B6" t="n">
        <v>2.44</v>
      </c>
      <c r="C6" t="n">
        <v>2.655</v>
      </c>
      <c r="D6" t="n">
        <v>3.082</v>
      </c>
      <c r="E6" t="n">
        <v>3.58</v>
      </c>
      <c r="F6" t="n">
        <v>5.743</v>
      </c>
      <c r="G6" t="n">
        <v>2.684</v>
      </c>
      <c r="H6" t="n">
        <v>2.768</v>
      </c>
      <c r="I6" t="inlineStr">
        <is>
          <t>CoWoS</t>
        </is>
      </c>
      <c r="J6" t="inlineStr">
        <is>
          <t>需求（各环节都够）</t>
        </is>
      </c>
      <c r="K6" t="n">
        <v>2.44</v>
      </c>
    </row>
    <row r="7">
      <c r="A7" t="inlineStr">
        <is>
          <t>2025Q1</t>
        </is>
      </c>
      <c r="B7" t="n">
        <v>2.559</v>
      </c>
      <c r="C7" t="n">
        <v>2.331</v>
      </c>
      <c r="D7" t="n">
        <v>3.214</v>
      </c>
      <c r="E7" t="n">
        <v>3.377</v>
      </c>
      <c r="F7" t="n">
        <v>3.714</v>
      </c>
      <c r="G7" t="n">
        <v>2.687</v>
      </c>
      <c r="H7" t="n">
        <v>3.07</v>
      </c>
      <c r="I7" t="inlineStr">
        <is>
          <t>CoWoS</t>
        </is>
      </c>
      <c r="J7" t="inlineStr">
        <is>
          <t>CoWoS</t>
        </is>
      </c>
      <c r="K7" t="n">
        <v>2.331</v>
      </c>
    </row>
    <row r="8">
      <c r="A8" t="inlineStr">
        <is>
          <t>2025Q2</t>
        </is>
      </c>
      <c r="B8" t="n">
        <v>2.791</v>
      </c>
      <c r="C8" t="n">
        <v>2.961</v>
      </c>
      <c r="D8" t="n">
        <v>3.302</v>
      </c>
      <c r="E8" t="n">
        <v>3.678</v>
      </c>
      <c r="F8" t="n">
        <v>4.455</v>
      </c>
      <c r="G8" t="n">
        <v>2.931</v>
      </c>
      <c r="H8" t="n">
        <v>3.07</v>
      </c>
      <c r="I8" t="inlineStr">
        <is>
          <t>ABF 载板</t>
        </is>
      </c>
      <c r="J8" t="inlineStr">
        <is>
          <t>需求（各环节都够）</t>
        </is>
      </c>
      <c r="K8" t="n">
        <v>2.791</v>
      </c>
    </row>
    <row r="9">
      <c r="A9" t="inlineStr">
        <is>
          <t>2025Q3</t>
        </is>
      </c>
      <c r="B9" t="n">
        <v>3.024</v>
      </c>
      <c r="C9" t="n">
        <v>3.591</v>
      </c>
      <c r="D9" t="n">
        <v>3.391</v>
      </c>
      <c r="E9" t="n">
        <v>3.978</v>
      </c>
      <c r="F9" t="n">
        <v>5.196</v>
      </c>
      <c r="G9" t="n">
        <v>3.175</v>
      </c>
      <c r="H9" t="n">
        <v>3.93</v>
      </c>
      <c r="I9" t="inlineStr">
        <is>
          <t>ABF 载板</t>
        </is>
      </c>
      <c r="J9" t="inlineStr">
        <is>
          <t>需求（各环节都够）</t>
        </is>
      </c>
      <c r="K9" t="n">
        <v>3.024</v>
      </c>
    </row>
    <row r="10">
      <c r="A10" t="inlineStr">
        <is>
          <t>2025Q4</t>
        </is>
      </c>
      <c r="B10" t="n">
        <v>3.256</v>
      </c>
      <c r="C10" t="n">
        <v>4.221</v>
      </c>
      <c r="D10" t="n">
        <v>3.479</v>
      </c>
      <c r="E10" t="n">
        <v>4.281</v>
      </c>
      <c r="F10" t="n">
        <v>5.937</v>
      </c>
      <c r="G10" t="n">
        <v>3.419</v>
      </c>
      <c r="H10" t="n">
        <v>3.93</v>
      </c>
      <c r="I10" t="inlineStr">
        <is>
          <t>ABF 载板</t>
        </is>
      </c>
      <c r="J10" t="inlineStr">
        <is>
          <t>需求（各环节都够）</t>
        </is>
      </c>
      <c r="K10" t="n">
        <v>3.256</v>
      </c>
    </row>
    <row r="11">
      <c r="A11" t="inlineStr">
        <is>
          <t>2026Q1</t>
        </is>
      </c>
      <c r="B11" t="n">
        <v>4.349</v>
      </c>
      <c r="C11" t="n">
        <v>4.457</v>
      </c>
      <c r="D11" t="n">
        <v>4.722</v>
      </c>
      <c r="E11" t="n">
        <v>5.11</v>
      </c>
      <c r="F11" t="n">
        <v>7.275</v>
      </c>
      <c r="G11" t="n">
        <v>4.48</v>
      </c>
      <c r="H11" t="n">
        <v>6.755</v>
      </c>
      <c r="I11" t="inlineStr">
        <is>
          <t>CoWoS</t>
        </is>
      </c>
      <c r="J11" t="inlineStr">
        <is>
          <t>需求（各环节都够）</t>
        </is>
      </c>
      <c r="K11" t="n">
        <v>4.349</v>
      </c>
    </row>
    <row r="12">
      <c r="A12" t="inlineStr">
        <is>
          <t>2026Q2</t>
        </is>
      </c>
      <c r="B12" t="n">
        <v>4.745</v>
      </c>
      <c r="C12" t="n">
        <v>5.211</v>
      </c>
      <c r="D12" t="n">
        <v>5.215</v>
      </c>
      <c r="E12" t="n">
        <v>5.445</v>
      </c>
      <c r="F12" t="n">
        <v>8.313000000000001</v>
      </c>
      <c r="G12" t="n">
        <v>4.887</v>
      </c>
      <c r="H12" t="n">
        <v>6.755</v>
      </c>
      <c r="I12" t="inlineStr">
        <is>
          <t>ABF 载板</t>
        </is>
      </c>
      <c r="J12" t="inlineStr">
        <is>
          <t>需求（各环节都够）</t>
        </is>
      </c>
      <c r="K12" t="n">
        <v>4.745</v>
      </c>
    </row>
    <row r="13">
      <c r="A13" t="inlineStr">
        <is>
          <t>2026Q3</t>
        </is>
      </c>
      <c r="B13" t="n">
        <v>5.14</v>
      </c>
      <c r="C13" t="n">
        <v>5.964</v>
      </c>
      <c r="D13" t="n">
        <v>5.709</v>
      </c>
      <c r="E13" t="n">
        <v>5.781</v>
      </c>
      <c r="F13" t="n">
        <v>9.35</v>
      </c>
      <c r="G13" t="n">
        <v>5.294</v>
      </c>
      <c r="H13" t="n">
        <v>7.025</v>
      </c>
      <c r="I13" t="inlineStr">
        <is>
          <t>ABF 载板</t>
        </is>
      </c>
      <c r="J13" t="inlineStr">
        <is>
          <t>需求（各环节都够）</t>
        </is>
      </c>
      <c r="K13" t="n">
        <v>5.14</v>
      </c>
    </row>
    <row r="14">
      <c r="A14" t="inlineStr">
        <is>
          <t>2026Q4</t>
        </is>
      </c>
      <c r="B14" t="n">
        <v>5.535</v>
      </c>
      <c r="C14" t="n">
        <v>6.718</v>
      </c>
      <c r="D14" t="n">
        <v>6.203</v>
      </c>
      <c r="E14" t="n">
        <v>6.118</v>
      </c>
      <c r="F14" t="n">
        <v>10.388</v>
      </c>
      <c r="G14" t="n">
        <v>5.701</v>
      </c>
      <c r="H14" t="n">
        <v>7.025</v>
      </c>
      <c r="I14" t="inlineStr">
        <is>
          <t>ABF 载板</t>
        </is>
      </c>
      <c r="J14" t="inlineStr">
        <is>
          <t>需求（各环节都够）</t>
        </is>
      </c>
      <c r="K14" t="n">
        <v>5.535</v>
      </c>
    </row>
    <row r="15">
      <c r="A15" t="inlineStr">
        <is>
          <t>2027Q1</t>
        </is>
      </c>
      <c r="B15" t="n">
        <v>8.029999999999999</v>
      </c>
      <c r="C15" t="n">
        <v>7.346</v>
      </c>
      <c r="D15" t="n">
        <v>8.186999999999999</v>
      </c>
      <c r="E15" t="n">
        <v>7.245</v>
      </c>
      <c r="F15" t="n">
        <v>13.083</v>
      </c>
      <c r="G15" t="n">
        <v>5.712</v>
      </c>
      <c r="H15" t="n">
        <v>10.126</v>
      </c>
      <c r="I15" t="inlineStr">
        <is>
          <t>ABF 载板</t>
        </is>
      </c>
      <c r="J15" t="inlineStr">
        <is>
          <t>ABF 载板</t>
        </is>
      </c>
      <c r="K15" t="n">
        <v>5.712</v>
      </c>
    </row>
    <row r="16">
      <c r="A16" t="inlineStr">
        <is>
          <t>2027Q2</t>
        </is>
      </c>
      <c r="B16" t="n">
        <v>8.76</v>
      </c>
      <c r="C16" t="n">
        <v>8.544</v>
      </c>
      <c r="D16" t="n">
        <v>8.94</v>
      </c>
      <c r="E16" t="n">
        <v>7.874</v>
      </c>
      <c r="F16" t="n">
        <v>14.271</v>
      </c>
      <c r="G16" t="n">
        <v>6.231</v>
      </c>
      <c r="H16" t="n">
        <v>10.126</v>
      </c>
      <c r="I16" t="inlineStr">
        <is>
          <t>ABF 载板</t>
        </is>
      </c>
      <c r="J16" t="inlineStr">
        <is>
          <t>ABF 载板</t>
        </is>
      </c>
      <c r="K16" t="n">
        <v>6.231</v>
      </c>
    </row>
    <row r="17">
      <c r="A17" t="inlineStr">
        <is>
          <t>2027Q3</t>
        </is>
      </c>
      <c r="B17" t="n">
        <v>9.49</v>
      </c>
      <c r="C17" t="n">
        <v>9.742000000000001</v>
      </c>
      <c r="D17" t="n">
        <v>9.694000000000001</v>
      </c>
      <c r="E17" t="n">
        <v>8.502000000000001</v>
      </c>
      <c r="F17" t="n">
        <v>15.459</v>
      </c>
      <c r="G17" t="n">
        <v>6.75</v>
      </c>
      <c r="H17" t="n">
        <v>10.126</v>
      </c>
      <c r="I17" t="inlineStr">
        <is>
          <t>ABF 载板</t>
        </is>
      </c>
      <c r="J17" t="inlineStr">
        <is>
          <t>ABF 载板</t>
        </is>
      </c>
      <c r="K17" t="n">
        <v>6.75</v>
      </c>
    </row>
    <row r="18">
      <c r="A18" t="inlineStr">
        <is>
          <t>2027Q4</t>
        </is>
      </c>
      <c r="B18" t="n">
        <v>10.22</v>
      </c>
      <c r="C18" t="n">
        <v>10.932</v>
      </c>
      <c r="D18" t="n">
        <v>10.448</v>
      </c>
      <c r="E18" t="n">
        <v>9.131</v>
      </c>
      <c r="F18" t="n">
        <v>16.647</v>
      </c>
      <c r="G18" t="n">
        <v>7.269</v>
      </c>
      <c r="H18" t="n">
        <v>10.126</v>
      </c>
      <c r="I18" t="inlineStr">
        <is>
          <t>ABF 载板</t>
        </is>
      </c>
      <c r="J18" t="inlineStr">
        <is>
          <t>ABF 载板</t>
        </is>
      </c>
      <c r="K18" t="n">
        <v>7.269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2026-10-24T10:19:53Z</dcterms:created>
  <dcterms:modified xmlns:dcterms="http://purl.org/dc/terms/" xmlns:xsi="http://www.w3.org/2001/XMLSchema-instance" xsi:type="dcterms:W3CDTF">2026-10-24T10:19:54Z</dcterms:modified>
</cp:coreProperties>
</file>