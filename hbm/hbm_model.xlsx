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来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v0.1（2026-10-14，Kiko）</t>
        </is>
      </c>
    </row>
    <row r="2">
      <c r="A2" t="inlineStr">
        <is>
          <t>黄色格=可改假设；其余为公式。单位：1 EB = 10亿 GB。</t>
        </is>
      </c>
    </row>
    <row r="3">
      <c r="A3" t="inlineStr">
        <is>
          <t>需求=出货(百万颗)×每颗HBM容量(GB)；供给=平均月投片(千片)×12×每片有效GB×稼动率</t>
        </is>
      </c>
    </row>
    <row r="4">
      <c r="A4" t="inlineStr">
        <is>
          <t>每片有效GB为自估：以TrendForce'HBM占DRAM投片22%但位元仅9%'及美光'HBM耗片约DDR5的3倍'反推，并校准到2026年供需接近平衡（与TrendForce 2026'价格暂停'口径一致）</t>
        </is>
      </c>
    </row>
    <row r="5">
      <c r="A5" t="inlineStr">
        <is>
          <t>2023-2024 供给缺少可靠公开数据，未建模。所有出货/容量未标来源者均为自估。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芯片</t>
        </is>
      </c>
      <c r="C1" s="1" t="inlineStr">
        <is>
          <t>出货(百万)</t>
        </is>
      </c>
      <c r="D1" s="1" t="inlineStr">
        <is>
          <t>每颗HBM(GB)</t>
        </is>
      </c>
      <c r="E1" s="1" t="inlineStr">
        <is>
          <t>需求(PB)</t>
        </is>
      </c>
      <c r="F1" s="1" t="inlineStr">
        <is>
          <t>来源/假设</t>
        </is>
      </c>
    </row>
    <row r="2">
      <c r="A2" t="n">
        <v>2023</v>
      </c>
      <c r="B2" t="inlineStr">
        <is>
          <t>H100等Hopper</t>
        </is>
      </c>
      <c r="C2" s="2" t="n">
        <v>1.5</v>
      </c>
      <c r="D2" s="2" t="n">
        <v>80</v>
      </c>
      <c r="E2">
        <f>C2*D2</f>
        <v/>
      </c>
      <c r="F2" t="inlineStr">
        <is>
          <t>估算</t>
        </is>
      </c>
    </row>
    <row r="3">
      <c r="A3" t="n">
        <v>2023</v>
      </c>
      <c r="B3" t="inlineStr">
        <is>
          <t>其他(TPU v5/MI300等)</t>
        </is>
      </c>
      <c r="C3" s="2" t="n">
        <v>0.8</v>
      </c>
      <c r="D3" s="2" t="n">
        <v>64</v>
      </c>
      <c r="E3">
        <f>C3*D3</f>
        <v/>
      </c>
      <c r="F3" t="inlineStr">
        <is>
          <t>估算</t>
        </is>
      </c>
    </row>
    <row r="4">
      <c r="A4" t="n">
        <v>2024</v>
      </c>
      <c r="B4" t="inlineStr">
        <is>
          <t>H100/H200</t>
        </is>
      </c>
      <c r="C4" s="2" t="n">
        <v>3</v>
      </c>
      <c r="D4" s="2" t="n">
        <v>100</v>
      </c>
      <c r="E4">
        <f>C4*D4</f>
        <v/>
      </c>
      <c r="F4" t="inlineStr">
        <is>
          <t>估算</t>
        </is>
      </c>
    </row>
    <row r="5">
      <c r="A5" t="n">
        <v>2024</v>
      </c>
      <c r="B5" t="inlineStr">
        <is>
          <t>TPU v5/v6</t>
        </is>
      </c>
      <c r="C5" s="2" t="n">
        <v>1.5</v>
      </c>
      <c r="D5" s="2" t="n">
        <v>95</v>
      </c>
      <c r="E5">
        <f>C5*D5</f>
        <v/>
      </c>
      <c r="F5" t="inlineStr">
        <is>
          <t>估算</t>
        </is>
      </c>
    </row>
    <row r="6">
      <c r="A6" t="n">
        <v>2024</v>
      </c>
      <c r="B6" t="inlineStr">
        <is>
          <t>AMD MI300</t>
        </is>
      </c>
      <c r="C6" s="2" t="n">
        <v>0.4</v>
      </c>
      <c r="D6" s="2" t="n">
        <v>192</v>
      </c>
      <c r="E6">
        <f>C6*D6</f>
        <v/>
      </c>
      <c r="F6" t="inlineStr">
        <is>
          <t>估算</t>
        </is>
      </c>
    </row>
    <row r="7">
      <c r="A7" t="n">
        <v>2024</v>
      </c>
      <c r="B7" t="inlineStr">
        <is>
          <t>其他ASIC</t>
        </is>
      </c>
      <c r="C7" s="2" t="n">
        <v>0.6</v>
      </c>
      <c r="D7" s="2" t="n">
        <v>64</v>
      </c>
      <c r="E7">
        <f>C7*D7</f>
        <v/>
      </c>
      <c r="F7" t="inlineStr">
        <is>
          <t>估算</t>
        </is>
      </c>
    </row>
    <row r="8">
      <c r="A8" t="n">
        <v>2025</v>
      </c>
      <c r="B8" t="inlineStr">
        <is>
          <t>Blackwell B200/GB200</t>
        </is>
      </c>
      <c r="C8" s="2" t="n">
        <v>4</v>
      </c>
      <c r="D8" s="2" t="n">
        <v>192</v>
      </c>
      <c r="E8">
        <f>C8*D8</f>
        <v/>
      </c>
      <c r="F8" t="inlineStr">
        <is>
          <t>估算</t>
        </is>
      </c>
    </row>
    <row r="9">
      <c r="A9" t="n">
        <v>2025</v>
      </c>
      <c r="B9" t="inlineStr">
        <is>
          <t>H200/H20</t>
        </is>
      </c>
      <c r="C9" s="2" t="n">
        <v>1.5</v>
      </c>
      <c r="D9" s="2" t="n">
        <v>141</v>
      </c>
      <c r="E9">
        <f>C9*D9</f>
        <v/>
      </c>
      <c r="F9" t="inlineStr">
        <is>
          <t>估算</t>
        </is>
      </c>
    </row>
    <row r="10">
      <c r="A10" t="n">
        <v>2025</v>
      </c>
      <c r="B10" t="inlineStr">
        <is>
          <t>Google TPU</t>
        </is>
      </c>
      <c r="C10" s="2" t="n">
        <v>2.5</v>
      </c>
      <c r="D10" s="2" t="n">
        <v>192</v>
      </c>
      <c r="E10">
        <f>C10*D10</f>
        <v/>
      </c>
      <c r="F10" t="inlineStr">
        <is>
          <t>估算</t>
        </is>
      </c>
    </row>
    <row r="11">
      <c r="A11" t="n">
        <v>2025</v>
      </c>
      <c r="B11" t="inlineStr">
        <is>
          <t>AWS Trainium2</t>
        </is>
      </c>
      <c r="C11" s="2" t="n">
        <v>1.5</v>
      </c>
      <c r="D11" s="2" t="n">
        <v>96</v>
      </c>
      <c r="E11">
        <f>C11*D11</f>
        <v/>
      </c>
      <c r="F11" t="inlineStr">
        <is>
          <t>估算</t>
        </is>
      </c>
    </row>
    <row r="12">
      <c r="A12" t="n">
        <v>2025</v>
      </c>
      <c r="B12" t="inlineStr">
        <is>
          <t>AMD MI325/355</t>
        </is>
      </c>
      <c r="C12" s="2" t="n">
        <v>0.5</v>
      </c>
      <c r="D12" s="2" t="n">
        <v>288</v>
      </c>
      <c r="E12">
        <f>C12*D12</f>
        <v/>
      </c>
      <c r="F12" t="inlineStr">
        <is>
          <t>估算</t>
        </is>
      </c>
    </row>
    <row r="13">
      <c r="A13" t="n">
        <v>2026</v>
      </c>
      <c r="B13" t="inlineStr">
        <is>
          <t>Blackwell B200/B300(GB300)</t>
        </is>
      </c>
      <c r="C13" s="2" t="n">
        <v>5.45</v>
      </c>
      <c r="D13" s="2" t="n">
        <v>250</v>
      </c>
      <c r="E13">
        <f>C13*D13</f>
        <v/>
      </c>
      <c r="F13" t="inlineStr">
        <is>
          <t>出货:Hilo转述券商~5.4-5.5M;容量:B200 192/B300 288按4:6估算</t>
        </is>
      </c>
    </row>
    <row r="14">
      <c r="A14" t="n">
        <v>2026</v>
      </c>
      <c r="B14" t="inlineStr">
        <is>
          <t>Rubin</t>
        </is>
      </c>
      <c r="C14" s="2" t="n">
        <v>1.5</v>
      </c>
      <c r="D14" s="2" t="n">
        <v>288</v>
      </c>
      <c r="E14">
        <f>C14*D14</f>
        <v/>
      </c>
      <c r="F14" t="inlineStr">
        <is>
          <t>出货:Magica报道下调至~1.5M;容量TrendForce称与上代相近</t>
        </is>
      </c>
    </row>
    <row r="15">
      <c r="A15" t="n">
        <v>2026</v>
      </c>
      <c r="B15" t="inlineStr">
        <is>
          <t>H200等Hopper</t>
        </is>
      </c>
      <c r="C15" s="2" t="n">
        <v>0.5</v>
      </c>
      <c r="D15" s="2" t="n">
        <v>141</v>
      </c>
      <c r="E15">
        <f>C15*D15</f>
        <v/>
      </c>
      <c r="F15" t="inlineStr">
        <is>
          <t>估算</t>
        </is>
      </c>
    </row>
    <row r="16">
      <c r="A16" t="n">
        <v>2026</v>
      </c>
      <c r="B16" t="inlineStr">
        <is>
          <t>Google TPU</t>
        </is>
      </c>
      <c r="C16" s="2" t="n">
        <v>3.7</v>
      </c>
      <c r="D16" s="2" t="n">
        <v>192</v>
      </c>
      <c r="E16">
        <f>C16*D16</f>
        <v/>
      </c>
      <c r="F16" t="inlineStr">
        <is>
          <t>出货:JPMorgan 3.7M;容量:Ironwood 192GB</t>
        </is>
      </c>
    </row>
    <row r="17">
      <c r="A17" t="n">
        <v>2026</v>
      </c>
      <c r="B17" t="inlineStr">
        <is>
          <t>AWS Trainium2/3</t>
        </is>
      </c>
      <c r="C17" s="2" t="n">
        <v>1.5</v>
      </c>
      <c r="D17" s="2" t="n">
        <v>120</v>
      </c>
      <c r="E17">
        <f>C17*D17</f>
        <v/>
      </c>
      <c r="F17" t="inlineStr">
        <is>
          <t>估算(Trn3 144GB)</t>
        </is>
      </c>
    </row>
    <row r="18">
      <c r="A18" t="n">
        <v>2026</v>
      </c>
      <c r="B18" t="inlineStr">
        <is>
          <t>AMD MI355/MI450</t>
        </is>
      </c>
      <c r="C18" s="2" t="n">
        <v>0.5</v>
      </c>
      <c r="D18" s="2" t="n">
        <v>288</v>
      </c>
      <c r="E18">
        <f>C18*D18</f>
        <v/>
      </c>
      <c r="F18" t="inlineStr">
        <is>
          <t>估算</t>
        </is>
      </c>
    </row>
    <row r="19">
      <c r="A19" t="n">
        <v>2026</v>
      </c>
      <c r="B19" t="inlineStr">
        <is>
          <t>其他ASIC(Meta/MS)</t>
        </is>
      </c>
      <c r="C19" s="2" t="n">
        <v>0.5</v>
      </c>
      <c r="D19" s="2" t="n">
        <v>128</v>
      </c>
      <c r="E19">
        <f>C19*D19</f>
        <v/>
      </c>
      <c r="F19" t="inlineStr">
        <is>
          <t>估算</t>
        </is>
      </c>
    </row>
    <row r="20">
      <c r="A20" t="n">
        <v>2026</v>
      </c>
      <c r="B20" t="inlineStr">
        <is>
          <t>中国AI芯片</t>
        </is>
      </c>
      <c r="C20" s="2" t="n">
        <v>0.7</v>
      </c>
      <c r="D20" s="2" t="n">
        <v>64</v>
      </c>
      <c r="E20">
        <f>C20*D20</f>
        <v/>
      </c>
      <c r="F20" t="inlineStr">
        <is>
          <t>估算</t>
        </is>
      </c>
    </row>
    <row r="21">
      <c r="A21" t="n">
        <v>2027</v>
      </c>
      <c r="B21" t="inlineStr">
        <is>
          <t>Rubin</t>
        </is>
      </c>
      <c r="C21" s="2" t="n">
        <v>5.5</v>
      </c>
      <c r="D21" s="2" t="n">
        <v>288</v>
      </c>
      <c r="E21">
        <f>C21*D21</f>
        <v/>
      </c>
      <c r="F21" t="inlineStr">
        <is>
          <t>出货:券商Rubin+Ultra近7M,拆分为估算</t>
        </is>
      </c>
    </row>
    <row r="22">
      <c r="A22" t="n">
        <v>2027</v>
      </c>
      <c r="B22" t="inlineStr">
        <is>
          <t>Rubin Ultra</t>
        </is>
      </c>
      <c r="C22" s="2" t="n">
        <v>1.5</v>
      </c>
      <c r="D22" s="2" t="n">
        <v>384</v>
      </c>
      <c r="E22">
        <f>C22*D22</f>
        <v/>
      </c>
      <c r="F22" t="inlineStr">
        <is>
          <t>容量:TrendForce 384GB/GPU</t>
        </is>
      </c>
    </row>
    <row r="23">
      <c r="A23" t="n">
        <v>2027</v>
      </c>
      <c r="B23" t="inlineStr">
        <is>
          <t>Blackwell尾量</t>
        </is>
      </c>
      <c r="C23" s="2" t="n">
        <v>1.5</v>
      </c>
      <c r="D23" s="2" t="n">
        <v>288</v>
      </c>
      <c r="E23">
        <f>C23*D23</f>
        <v/>
      </c>
      <c r="F23" t="inlineStr">
        <is>
          <t>估算</t>
        </is>
      </c>
    </row>
    <row r="24">
      <c r="A24" t="n">
        <v>2027</v>
      </c>
      <c r="B24" t="inlineStr">
        <is>
          <t>Google TPU</t>
        </is>
      </c>
      <c r="C24" s="2" t="n">
        <v>5</v>
      </c>
      <c r="D24" s="2" t="n">
        <v>250</v>
      </c>
      <c r="E24">
        <f>C24*D24</f>
        <v/>
      </c>
      <c r="F24" t="inlineStr">
        <is>
          <t>出货:JPMorgan 5M;容量估算</t>
        </is>
      </c>
    </row>
    <row r="25">
      <c r="A25" t="n">
        <v>2027</v>
      </c>
      <c r="B25" t="inlineStr">
        <is>
          <t>AWS Trainium3</t>
        </is>
      </c>
      <c r="C25" s="2" t="n">
        <v>2.5</v>
      </c>
      <c r="D25" s="2" t="n">
        <v>144</v>
      </c>
      <c r="E25">
        <f>C25*D25</f>
        <v/>
      </c>
      <c r="F25" t="inlineStr">
        <is>
          <t>估算</t>
        </is>
      </c>
    </row>
    <row r="26">
      <c r="A26" t="n">
        <v>2027</v>
      </c>
      <c r="B26" t="inlineStr">
        <is>
          <t>AMD MI450</t>
        </is>
      </c>
      <c r="C26" s="2" t="n">
        <v>1</v>
      </c>
      <c r="D26" s="2" t="n">
        <v>432</v>
      </c>
      <c r="E26">
        <f>C26*D26</f>
        <v/>
      </c>
      <c r="F26" t="inlineStr">
        <is>
          <t>估算</t>
        </is>
      </c>
    </row>
    <row r="27">
      <c r="A27" t="n">
        <v>2027</v>
      </c>
      <c r="B27" t="inlineStr">
        <is>
          <t>其他ASIC</t>
        </is>
      </c>
      <c r="C27" s="2" t="n">
        <v>1</v>
      </c>
      <c r="D27" s="2" t="n">
        <v>192</v>
      </c>
      <c r="E27">
        <f>C27*D27</f>
        <v/>
      </c>
      <c r="F27" t="inlineStr">
        <is>
          <t>估算</t>
        </is>
      </c>
    </row>
    <row r="28">
      <c r="A28" t="n">
        <v>2027</v>
      </c>
      <c r="B28" t="inlineStr">
        <is>
          <t>中国AI芯片</t>
        </is>
      </c>
      <c r="C28" s="2" t="n">
        <v>1</v>
      </c>
      <c r="D28" s="2" t="n">
        <v>96</v>
      </c>
      <c r="E28">
        <f>C28*D28</f>
        <v/>
      </c>
      <c r="F28" t="inlineStr">
        <is>
          <t>估算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平均月投片(千片)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150</v>
      </c>
      <c r="D2" s="2" t="n">
        <v>600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110</v>
      </c>
      <c r="D3" s="2" t="n">
        <v>600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40</v>
      </c>
      <c r="D4" s="2" t="n">
        <v>600</v>
      </c>
      <c r="E4" s="2" t="n">
        <v>0.85</v>
      </c>
      <c r="F4">
        <f>C4*12*D4*E4/1000</f>
        <v/>
      </c>
    </row>
    <row r="5">
      <c r="A5" t="n">
        <v>2025</v>
      </c>
      <c r="B5" t="inlineStr">
        <is>
          <t>CXMT</t>
        </is>
      </c>
      <c r="C5" s="2" t="n">
        <v>0</v>
      </c>
      <c r="D5" s="2" t="n">
        <v>600</v>
      </c>
      <c r="E5" s="2" t="n">
        <v>0.85</v>
      </c>
      <c r="F5">
        <f>C5*12*D5*E5/1000</f>
        <v/>
      </c>
    </row>
    <row r="6">
      <c r="A6" t="n">
        <v>2026</v>
      </c>
      <c r="B6" t="inlineStr">
        <is>
          <t>SK hynix</t>
        </is>
      </c>
      <c r="C6" s="2" t="n">
        <v>170</v>
      </c>
      <c r="D6" s="2" t="n">
        <v>650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Samsung</t>
        </is>
      </c>
      <c r="C7" s="2" t="n">
        <v>165</v>
      </c>
      <c r="D7" s="2" t="n">
        <v>650</v>
      </c>
      <c r="E7" s="2" t="n">
        <v>0.9</v>
      </c>
      <c r="F7">
        <f>C7*12*D7*E7/1000</f>
        <v/>
      </c>
    </row>
    <row r="8">
      <c r="A8" t="n">
        <v>2026</v>
      </c>
      <c r="B8" t="inlineStr">
        <is>
          <t>Micron</t>
        </is>
      </c>
      <c r="C8" s="2" t="n">
        <v>70</v>
      </c>
      <c r="D8" s="2" t="n">
        <v>650</v>
      </c>
      <c r="E8" s="2" t="n">
        <v>0.9</v>
      </c>
      <c r="F8">
        <f>C8*12*D8*E8/1000</f>
        <v/>
      </c>
    </row>
    <row r="9">
      <c r="A9" t="n">
        <v>2026</v>
      </c>
      <c r="B9" t="inlineStr">
        <is>
          <t>CXMT</t>
        </is>
      </c>
      <c r="C9" s="2" t="n">
        <v>10</v>
      </c>
      <c r="D9" s="2" t="n">
        <v>650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SK hynix</t>
        </is>
      </c>
      <c r="C10" s="2" t="n">
        <v>230</v>
      </c>
      <c r="D10" s="2" t="n">
        <v>600</v>
      </c>
      <c r="E10" s="2" t="n">
        <v>0.9</v>
      </c>
      <c r="F10">
        <f>C10*12*D10*E10/1000</f>
        <v/>
      </c>
    </row>
    <row r="11">
      <c r="A11" t="n">
        <v>2027</v>
      </c>
      <c r="B11" t="inlineStr">
        <is>
          <t>Samsung</t>
        </is>
      </c>
      <c r="C11" s="2" t="n">
        <v>250</v>
      </c>
      <c r="D11" s="2" t="n">
        <v>600</v>
      </c>
      <c r="E11" s="2" t="n">
        <v>0.9</v>
      </c>
      <c r="F11">
        <f>C11*12*D11*E11/1000</f>
        <v/>
      </c>
    </row>
    <row r="12">
      <c r="A12" t="n">
        <v>2027</v>
      </c>
      <c r="B12" t="inlineStr">
        <is>
          <t>Micron</t>
        </is>
      </c>
      <c r="C12" s="2" t="n">
        <v>110</v>
      </c>
      <c r="D12" s="2" t="n">
        <v>600</v>
      </c>
      <c r="E12" s="2" t="n">
        <v>0.9</v>
      </c>
      <c r="F12">
        <f>C12*12*D12*E12/1000</f>
        <v/>
      </c>
    </row>
    <row r="13">
      <c r="A13" t="n">
        <v>2027</v>
      </c>
      <c r="B13" t="inlineStr">
        <is>
          <t>CXMT</t>
        </is>
      </c>
      <c r="C13" s="2" t="n">
        <v>25</v>
      </c>
      <c r="D13" s="2" t="n">
        <v>600</v>
      </c>
      <c r="E13" s="2" t="n">
        <v>0.9</v>
      </c>
      <c r="F13">
        <f>C13*12*D13*E13/1000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缺口(供-需,EB)</t>
        </is>
      </c>
      <c r="E1" s="1" t="inlineStr">
        <is>
          <t>缺口/需求</t>
        </is>
      </c>
      <c r="F1" s="1" t="inlineStr">
        <is>
          <t>判断</t>
        </is>
      </c>
    </row>
    <row r="2">
      <c r="A2" t="n">
        <v>2023</v>
      </c>
      <c r="B2">
        <f>SUMIF(需求!A2:A28,A2,需求!E2:E28)/1000</f>
        <v/>
      </c>
      <c r="C2" t="inlineStr">
        <is>
          <t>未建模</t>
        </is>
      </c>
      <c r="D2" t="inlineStr"/>
      <c r="E2" t="inlineStr"/>
      <c r="F2" t="inlineStr">
        <is>
          <t>公开口径:全年售罄/紧缺</t>
        </is>
      </c>
    </row>
    <row r="3">
      <c r="A3" t="n">
        <v>2024</v>
      </c>
      <c r="B3">
        <f>SUMIF(需求!A2:A28,A3,需求!E2:E28)/1000</f>
        <v/>
      </c>
      <c r="C3" t="inlineStr">
        <is>
          <t>未建模</t>
        </is>
      </c>
      <c r="D3" t="inlineStr"/>
      <c r="E3" t="inlineStr"/>
      <c r="F3" t="inlineStr">
        <is>
          <t>公开口径:全年售罄/紧缺</t>
        </is>
      </c>
    </row>
    <row r="4">
      <c r="A4" t="n">
        <v>2025</v>
      </c>
      <c r="B4">
        <f>SUMIF(需求!A2:A28,A4,需求!E2:E28)/1000</f>
        <v/>
      </c>
      <c r="C4">
        <f>SUMIF(供给!A2:A13,A4,供给!F2:F13)/1000</f>
        <v/>
      </c>
      <c r="D4">
        <f>C4-B4</f>
        <v/>
      </c>
      <c r="E4">
        <f>D4/B4</f>
        <v/>
      </c>
      <c r="F4" t="inlineStr"/>
    </row>
    <row r="5">
      <c r="A5" t="n">
        <v>2026</v>
      </c>
      <c r="B5">
        <f>SUMIF(需求!A2:A28,A5,需求!E2:E28)/1000</f>
        <v/>
      </c>
      <c r="C5">
        <f>SUMIF(供给!A2:A13,A5,供给!F2:F13)/1000</f>
        <v/>
      </c>
      <c r="D5">
        <f>C5-B5</f>
        <v/>
      </c>
      <c r="E5">
        <f>D5/B5</f>
        <v/>
      </c>
      <c r="F5" t="inlineStr"/>
    </row>
    <row r="6">
      <c r="A6" t="n">
        <v>2027</v>
      </c>
      <c r="B6">
        <f>SUMIF(需求!A2:A28,A6,需求!E2:E28)/1000</f>
        <v/>
      </c>
      <c r="C6">
        <f>SUMIF(供给!A2:A13,A6,供给!F2:F13)/1000</f>
        <v/>
      </c>
      <c r="D6">
        <f>C6-B6</f>
        <v/>
      </c>
      <c r="E6">
        <f>D6/B6</f>
        <v/>
      </c>
      <c r="F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hbm_chain.md 附录 来源清单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2026-10-14T14:03:59Z</dcterms:created>
  <dcterms:modified xmlns:dcterms="http://purl.org/dc/terms/" xmlns:xsi="http://www.w3.org/2001/XMLSchema-instance" xsi:type="dcterms:W3CDTF">2026-10-14T14:03:59Z</dcterms:modified>
</cp:coreProperties>
</file>