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需求" sheetId="2" state="visible" r:id="rId2"/>
    <sheet xmlns:r="http://schemas.openxmlformats.org/officeDocument/2006/relationships" name="供给" sheetId="3" state="visible" r:id="rId3"/>
    <sheet xmlns:r="http://schemas.openxmlformats.org/officeDocument/2006/relationships" name="季度产能" sheetId="4" state="visible" r:id="rId4"/>
    <sheet xmlns:r="http://schemas.openxmlformats.org/officeDocument/2006/relationships" name="平衡表" sheetId="5" state="visible" r:id="rId5"/>
    <sheet xmlns:r="http://schemas.openxmlformats.org/officeDocument/2006/relationships" name="校准" sheetId="6" state="visible" r:id="rId6"/>
    <sheet xmlns:r="http://schemas.openxmlformats.org/officeDocument/2006/relationships" name="来源" sheetId="7" state="visible" r:id="rId7"/>
    <sheet xmlns:r="http://schemas.openxmlformats.org/officeDocument/2006/relationships" name="TOC约束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HBM 供需模型 v0.4（2026-10-15，由 hbm/build.py 生成，勿手改）</t>
        </is>
      </c>
    </row>
    <row r="2">
      <c r="A2" t="inlineStr">
        <is>
          <t>黄色格=可改假设；其余为公式。1 EB = 10 亿 GB。</t>
        </is>
      </c>
    </row>
    <row r="3">
      <c r="A3" t="inlineStr">
        <is>
          <t>需求 = 出货（百万颗）× 每封装 HBM（GB），与 CoWoS 页共用 KGI 出货表</t>
        </is>
      </c>
    </row>
    <row r="4">
      <c r="A4" t="inlineStr">
        <is>
          <t>供给 = 年均月投片（千片）× 12 × 每片有效 GB × 稼动率</t>
        </is>
      </c>
    </row>
    <row r="5">
      <c r="A5" t="inlineStr">
        <is>
          <t>每片有效 GB 不是原厂披露值，而是用券商汇总的产量反推：2025 年 iM 证券称业界产量 26.3 亿 GB、2026 年预计 44.4 亿 GB [源65]；用 UBS 年末产能 [源63]插值得到的年均投片去除，得到 2025 年约 750、2026 年约 880 GB/片（稼动率 85%/90%，估）。2027 年 HBM4/4E die 更大、16 层良率更低 [源1]，先按与 2026 年持平处理。旧版 600/650/600 是"让 2026 年供需接近平衡"倒推的，加上产能锚点偏低，2026 年供给少算了约三分之一（2.9 对 4.4 EB）。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芯片</t>
        </is>
      </c>
      <c r="D1" s="1" t="inlineStr">
        <is>
          <t>出货(百万)</t>
        </is>
      </c>
      <c r="E1" s="1" t="inlineStr">
        <is>
          <t>每封装HBM(GB)</t>
        </is>
      </c>
      <c r="F1" s="1" t="inlineStr">
        <is>
          <t>需求(PB)</t>
        </is>
      </c>
      <c r="G1" s="1" t="inlineStr">
        <is>
          <t>来源</t>
        </is>
      </c>
    </row>
    <row r="2">
      <c r="A2" t="n">
        <v>2023</v>
      </c>
      <c r="B2" t="inlineStr">
        <is>
          <t>英伟达</t>
        </is>
      </c>
      <c r="C2" t="inlineStr">
        <is>
          <t>英伟达 A100</t>
        </is>
      </c>
      <c r="D2" s="2" t="n">
        <v>1.45</v>
      </c>
      <c r="E2" s="2" t="n">
        <v>80</v>
      </c>
      <c r="F2">
        <f>D2*E2</f>
        <v/>
      </c>
      <c r="G2" t="inlineStr">
        <is>
          <t>KGI Fig.10（经 CoWoS 页）</t>
        </is>
      </c>
    </row>
    <row r="3">
      <c r="A3" t="n">
        <v>2023</v>
      </c>
      <c r="B3" t="inlineStr">
        <is>
          <t>AMD</t>
        </is>
      </c>
      <c r="C3" t="inlineStr">
        <is>
          <t>AMD MI250/MI300</t>
        </is>
      </c>
      <c r="D3" s="2" t="n">
        <v>0.168</v>
      </c>
      <c r="E3" s="2" t="n">
        <v>128</v>
      </c>
      <c r="F3">
        <f>D3*E3</f>
        <v/>
      </c>
      <c r="G3" t="inlineStr">
        <is>
          <t>KGI Fig.10（经 CoWoS 页）</t>
        </is>
      </c>
    </row>
    <row r="4">
      <c r="A4" t="n">
        <v>2023</v>
      </c>
      <c r="B4" t="inlineStr">
        <is>
          <t>其他/中国</t>
        </is>
      </c>
      <c r="C4" t="inlineStr">
        <is>
          <t>其他GPU Gaudi等</t>
        </is>
      </c>
      <c r="D4" s="2" t="n">
        <v>0.027</v>
      </c>
      <c r="E4" s="2" t="n">
        <v>96</v>
      </c>
      <c r="F4">
        <f>D4*E4</f>
        <v/>
      </c>
      <c r="G4" t="inlineStr">
        <is>
          <t>KGI Fig.10（经 CoWoS 页）</t>
        </is>
      </c>
    </row>
    <row r="5">
      <c r="A5" t="n">
        <v>2023</v>
      </c>
      <c r="B5" t="inlineStr">
        <is>
          <t>谷歌TPU</t>
        </is>
      </c>
      <c r="C5" t="inlineStr">
        <is>
          <t>谷歌TPU TPU v4/v5</t>
        </is>
      </c>
      <c r="D5" s="2" t="n">
        <v>1.464</v>
      </c>
      <c r="E5" s="2" t="n">
        <v>32</v>
      </c>
      <c r="F5">
        <f>D5*E5</f>
        <v/>
      </c>
      <c r="G5" t="inlineStr">
        <is>
          <t>KGI Fig.10（经 CoWoS 页）</t>
        </is>
      </c>
    </row>
    <row r="6">
      <c r="A6" t="n">
        <v>2023</v>
      </c>
      <c r="B6" t="inlineStr">
        <is>
          <t>AWS</t>
        </is>
      </c>
      <c r="C6" t="inlineStr">
        <is>
          <t>AWS Trainium1/Inferentia2</t>
        </is>
      </c>
      <c r="D6" s="2" t="n">
        <v>0.495</v>
      </c>
      <c r="E6" s="2" t="n">
        <v>32</v>
      </c>
      <c r="F6">
        <f>D6*E6</f>
        <v/>
      </c>
      <c r="G6" t="inlineStr">
        <is>
          <t>KGI Fig.10（经 CoWoS 页）</t>
        </is>
      </c>
    </row>
    <row r="7">
      <c r="A7" t="n">
        <v>2023</v>
      </c>
      <c r="B7" t="inlineStr">
        <is>
          <t>其他/中国</t>
        </is>
      </c>
      <c r="C7" t="inlineStr">
        <is>
          <t>其他ASIC 其他</t>
        </is>
      </c>
      <c r="D7" s="2" t="n">
        <v>0.3</v>
      </c>
      <c r="E7" s="2" t="n">
        <v>32</v>
      </c>
      <c r="F7">
        <f>D7*E7</f>
        <v/>
      </c>
      <c r="G7" t="inlineStr">
        <is>
          <t>KGI Fig.10（经 CoWoS 页）</t>
        </is>
      </c>
    </row>
    <row r="8">
      <c r="A8" t="n">
        <v>2024</v>
      </c>
      <c r="B8" t="inlineStr">
        <is>
          <t>英伟达</t>
        </is>
      </c>
      <c r="C8" t="inlineStr">
        <is>
          <t>英伟达 A100</t>
        </is>
      </c>
      <c r="D8" s="2" t="n">
        <v>0.08799999999999999</v>
      </c>
      <c r="E8" s="2" t="n">
        <v>80</v>
      </c>
      <c r="F8">
        <f>D8*E8</f>
        <v/>
      </c>
      <c r="G8" t="inlineStr">
        <is>
          <t>KGI Fig.10（经 CoWoS 页）</t>
        </is>
      </c>
    </row>
    <row r="9">
      <c r="A9" t="n">
        <v>2024</v>
      </c>
      <c r="B9" t="inlineStr">
        <is>
          <t>英伟达</t>
        </is>
      </c>
      <c r="C9" t="inlineStr">
        <is>
          <t>英伟达 H100/H200</t>
        </is>
      </c>
      <c r="D9" s="2" t="n">
        <v>3.218</v>
      </c>
      <c r="E9" s="2" t="n">
        <v>90</v>
      </c>
      <c r="F9">
        <f>D9*E9</f>
        <v/>
      </c>
      <c r="G9" t="inlineStr">
        <is>
          <t>KGI Fig.10（经 CoWoS 页）</t>
        </is>
      </c>
    </row>
    <row r="10">
      <c r="A10" t="n">
        <v>2024</v>
      </c>
      <c r="B10" t="inlineStr">
        <is>
          <t>英伟达</t>
        </is>
      </c>
      <c r="C10" t="inlineStr">
        <is>
          <t>英伟达 B200</t>
        </is>
      </c>
      <c r="D10" s="2" t="n">
        <v>0.532</v>
      </c>
      <c r="E10" s="2" t="n">
        <v>192</v>
      </c>
      <c r="F10">
        <f>D10*E10</f>
        <v/>
      </c>
      <c r="G10" t="inlineStr">
        <is>
          <t>KGI Fig.10（经 CoWoS 页）</t>
        </is>
      </c>
    </row>
    <row r="11">
      <c r="A11" t="n">
        <v>2024</v>
      </c>
      <c r="B11" t="inlineStr">
        <is>
          <t>AMD</t>
        </is>
      </c>
      <c r="C11" t="inlineStr">
        <is>
          <t>AMD MI300X</t>
        </is>
      </c>
      <c r="D11" s="2" t="n">
        <v>0.49</v>
      </c>
      <c r="E11" s="2" t="n">
        <v>192</v>
      </c>
      <c r="F11">
        <f>D11*E11</f>
        <v/>
      </c>
      <c r="G11" t="inlineStr">
        <is>
          <t>KGI Fig.10（经 CoWoS 页）</t>
        </is>
      </c>
    </row>
    <row r="12">
      <c r="A12" t="n">
        <v>2024</v>
      </c>
      <c r="B12" t="inlineStr">
        <is>
          <t>其他/中国</t>
        </is>
      </c>
      <c r="C12" t="inlineStr">
        <is>
          <t>其他GPU Gaudi/其他</t>
        </is>
      </c>
      <c r="D12" s="2" t="n">
        <v>0.402</v>
      </c>
      <c r="E12" s="2" t="n">
        <v>96</v>
      </c>
      <c r="F12">
        <f>D12*E12</f>
        <v/>
      </c>
      <c r="G12" t="inlineStr">
        <is>
          <t>KGI Fig.10（经 CoWoS 页）</t>
        </is>
      </c>
    </row>
    <row r="13">
      <c r="A13" t="n">
        <v>2024</v>
      </c>
      <c r="B13" t="inlineStr">
        <is>
          <t>谷歌TPU</t>
        </is>
      </c>
      <c r="C13" t="inlineStr">
        <is>
          <t>谷歌TPU TPU v5/v6</t>
        </is>
      </c>
      <c r="D13" s="2" t="n">
        <v>2.099</v>
      </c>
      <c r="E13" s="2" t="n">
        <v>40</v>
      </c>
      <c r="F13">
        <f>D13*E13</f>
        <v/>
      </c>
      <c r="G13" t="inlineStr">
        <is>
          <t>KGI Fig.10（经 CoWoS 页）</t>
        </is>
      </c>
    </row>
    <row r="14">
      <c r="A14" t="n">
        <v>2024</v>
      </c>
      <c r="B14" t="inlineStr">
        <is>
          <t>AWS</t>
        </is>
      </c>
      <c r="C14" t="inlineStr">
        <is>
          <t>AWS Trainium</t>
        </is>
      </c>
      <c r="D14" s="2" t="n">
        <v>1.225</v>
      </c>
      <c r="E14" s="2" t="n">
        <v>64</v>
      </c>
      <c r="F14">
        <f>D14*E14</f>
        <v/>
      </c>
      <c r="G14" t="inlineStr">
        <is>
          <t>KGI Fig.10（经 CoWoS 页）</t>
        </is>
      </c>
    </row>
    <row r="15">
      <c r="A15" t="n">
        <v>2024</v>
      </c>
      <c r="B15" t="inlineStr">
        <is>
          <t>其他/中国</t>
        </is>
      </c>
      <c r="C15" t="inlineStr">
        <is>
          <t>其他ASIC MTIA/Maia/其他</t>
        </is>
      </c>
      <c r="D15" s="2" t="n">
        <v>0.66</v>
      </c>
      <c r="E15" s="2" t="n">
        <v>64</v>
      </c>
      <c r="F15">
        <f>D15*E15</f>
        <v/>
      </c>
      <c r="G15" t="inlineStr">
        <is>
          <t>KGI Fig.10（经 CoWoS 页）</t>
        </is>
      </c>
    </row>
    <row r="16">
      <c r="A16" t="n">
        <v>2025</v>
      </c>
      <c r="B16" t="inlineStr">
        <is>
          <t>英伟达</t>
        </is>
      </c>
      <c r="C16" t="inlineStr">
        <is>
          <t>英伟达 H100/H200/H20</t>
        </is>
      </c>
      <c r="D16" s="2" t="n">
        <v>0.522</v>
      </c>
      <c r="E16" s="2" t="n">
        <v>110</v>
      </c>
      <c r="F16">
        <f>D16*E16</f>
        <v/>
      </c>
      <c r="G16" t="inlineStr">
        <is>
          <t>KGI Fig.10（经 CoWoS 页）</t>
        </is>
      </c>
    </row>
    <row r="17">
      <c r="A17" t="n">
        <v>2025</v>
      </c>
      <c r="B17" t="inlineStr">
        <is>
          <t>英伟达</t>
        </is>
      </c>
      <c r="C17" t="inlineStr">
        <is>
          <t>英伟达 B200</t>
        </is>
      </c>
      <c r="D17" s="2" t="n">
        <v>2.873</v>
      </c>
      <c r="E17" s="2" t="n">
        <v>192</v>
      </c>
      <c r="F17">
        <f>D17*E17</f>
        <v/>
      </c>
      <c r="G17" t="inlineStr">
        <is>
          <t>KGI Fig.10（经 CoWoS 页）</t>
        </is>
      </c>
    </row>
    <row r="18">
      <c r="A18" t="n">
        <v>2025</v>
      </c>
      <c r="B18" t="inlineStr">
        <is>
          <t>英伟达</t>
        </is>
      </c>
      <c r="C18" t="inlineStr">
        <is>
          <t>英伟达 B300</t>
        </is>
      </c>
      <c r="D18" s="2" t="n">
        <v>1.915</v>
      </c>
      <c r="E18" s="2" t="n">
        <v>288</v>
      </c>
      <c r="F18">
        <f>D18*E18</f>
        <v/>
      </c>
      <c r="G18" t="inlineStr">
        <is>
          <t>KGI Fig.10（经 CoWoS 页）</t>
        </is>
      </c>
    </row>
    <row r="19">
      <c r="A19" t="n">
        <v>2025</v>
      </c>
      <c r="B19" t="inlineStr">
        <is>
          <t>AMD</t>
        </is>
      </c>
      <c r="C19" t="inlineStr">
        <is>
          <t>AMD MI325/MI355</t>
        </is>
      </c>
      <c r="D19" s="2" t="n">
        <v>0.927</v>
      </c>
      <c r="E19" s="2" t="n">
        <v>288</v>
      </c>
      <c r="F19">
        <f>D19*E19</f>
        <v/>
      </c>
      <c r="G19" t="inlineStr">
        <is>
          <t>KGI Fig.10（经 CoWoS 页）</t>
        </is>
      </c>
    </row>
    <row r="20">
      <c r="A20" t="n">
        <v>2025</v>
      </c>
      <c r="B20" t="inlineStr">
        <is>
          <t>其他/中国</t>
        </is>
      </c>
      <c r="C20" t="inlineStr">
        <is>
          <t>其他GPU 其他</t>
        </is>
      </c>
      <c r="D20" s="2" t="n">
        <v>0.516</v>
      </c>
      <c r="E20" s="2" t="n">
        <v>96</v>
      </c>
      <c r="F20">
        <f>D20*E20</f>
        <v/>
      </c>
      <c r="G20" t="inlineStr">
        <is>
          <t>KGI Fig.10（经 CoWoS 页）</t>
        </is>
      </c>
    </row>
    <row r="21">
      <c r="A21" t="n">
        <v>2025</v>
      </c>
      <c r="B21" t="inlineStr">
        <is>
          <t>谷歌TPU</t>
        </is>
      </c>
      <c r="C21" t="inlineStr">
        <is>
          <t>谷歌TPU Trillium/Ironwood</t>
        </is>
      </c>
      <c r="D21" s="2" t="n">
        <v>2.527</v>
      </c>
      <c r="E21" s="2" t="n">
        <v>128</v>
      </c>
      <c r="F21">
        <f>D21*E21</f>
        <v/>
      </c>
      <c r="G21" t="inlineStr">
        <is>
          <t>KGI Fig.10（经 CoWoS 页）</t>
        </is>
      </c>
    </row>
    <row r="22">
      <c r="A22" t="n">
        <v>2025</v>
      </c>
      <c r="B22" t="inlineStr">
        <is>
          <t>AWS</t>
        </is>
      </c>
      <c r="C22" t="inlineStr">
        <is>
          <t>AWS Trainium2</t>
        </is>
      </c>
      <c r="D22" s="2" t="n">
        <v>1.6</v>
      </c>
      <c r="E22" s="2" t="n">
        <v>96</v>
      </c>
      <c r="F22">
        <f>D22*E22</f>
        <v/>
      </c>
      <c r="G22" t="inlineStr">
        <is>
          <t>KGI Fig.10（经 CoWoS 页）</t>
        </is>
      </c>
    </row>
    <row r="23">
      <c r="A23" t="n">
        <v>2025</v>
      </c>
      <c r="B23" t="inlineStr">
        <is>
          <t>其他/中国</t>
        </is>
      </c>
      <c r="C23" t="inlineStr">
        <is>
          <t>其他ASIC MTIA/Maia/其他</t>
        </is>
      </c>
      <c r="D23" s="2" t="n">
        <v>0.75</v>
      </c>
      <c r="E23" s="2" t="n">
        <v>96</v>
      </c>
      <c r="F23">
        <f>D23*E23</f>
        <v/>
      </c>
      <c r="G23" t="inlineStr">
        <is>
          <t>KGI Fig.10（经 CoWoS 页）</t>
        </is>
      </c>
    </row>
    <row r="24">
      <c r="A24" t="n">
        <v>2026</v>
      </c>
      <c r="B24" t="inlineStr">
        <is>
          <t>英伟达</t>
        </is>
      </c>
      <c r="C24" t="inlineStr">
        <is>
          <t>英伟达 H100/H200/H20</t>
        </is>
      </c>
      <c r="D24" s="2" t="n">
        <v>0.9429999999999999</v>
      </c>
      <c r="E24" s="2" t="n">
        <v>120</v>
      </c>
      <c r="F24">
        <f>D24*E24</f>
        <v/>
      </c>
      <c r="G24" t="inlineStr">
        <is>
          <t>KGI Fig.10（经 CoWoS 页）</t>
        </is>
      </c>
    </row>
    <row r="25">
      <c r="A25" t="n">
        <v>2026</v>
      </c>
      <c r="B25" t="inlineStr">
        <is>
          <t>英伟达</t>
        </is>
      </c>
      <c r="C25" t="inlineStr">
        <is>
          <t>英伟达 B200</t>
        </is>
      </c>
      <c r="D25" s="2" t="n">
        <v>1.128</v>
      </c>
      <c r="E25" s="2" t="n">
        <v>192</v>
      </c>
      <c r="F25">
        <f>D25*E25</f>
        <v/>
      </c>
      <c r="G25" t="inlineStr">
        <is>
          <t>KGI Fig.10（经 CoWoS 页）</t>
        </is>
      </c>
    </row>
    <row r="26">
      <c r="A26" t="n">
        <v>2026</v>
      </c>
      <c r="B26" t="inlineStr">
        <is>
          <t>英伟达</t>
        </is>
      </c>
      <c r="C26" t="inlineStr">
        <is>
          <t>英伟达 B300</t>
        </is>
      </c>
      <c r="D26" s="2" t="n">
        <v>4.514</v>
      </c>
      <c r="E26" s="2" t="n">
        <v>288</v>
      </c>
      <c r="F26">
        <f>D26*E26</f>
        <v/>
      </c>
      <c r="G26" t="inlineStr">
        <is>
          <t>KGI Fig.10（经 CoWoS 页）</t>
        </is>
      </c>
    </row>
    <row r="27">
      <c r="A27" t="n">
        <v>2026</v>
      </c>
      <c r="B27" t="inlineStr">
        <is>
          <t>英伟达</t>
        </is>
      </c>
      <c r="C27" t="inlineStr">
        <is>
          <t>英伟达 Rubin</t>
        </is>
      </c>
      <c r="D27" s="2" t="n">
        <v>1.95</v>
      </c>
      <c r="E27" s="2" t="n">
        <v>288</v>
      </c>
      <c r="F27">
        <f>D27*E27</f>
        <v/>
      </c>
      <c r="G27" t="inlineStr">
        <is>
          <t>KGI Fig.10（经 CoWoS 页）</t>
        </is>
      </c>
    </row>
    <row r="28">
      <c r="A28" t="n">
        <v>2026</v>
      </c>
      <c r="B28" t="inlineStr">
        <is>
          <t>英伟达</t>
        </is>
      </c>
      <c r="C28" t="inlineStr">
        <is>
          <t>英伟达 Vera CPU</t>
        </is>
      </c>
      <c r="D28" s="2" t="n">
        <v>2</v>
      </c>
      <c r="E28" s="2" t="n">
        <v>0</v>
      </c>
      <c r="F28">
        <f>D28*E28</f>
        <v/>
      </c>
      <c r="G28" t="inlineStr">
        <is>
          <t>KGI 正文（经 CoWoS 页）</t>
        </is>
      </c>
    </row>
    <row r="29">
      <c r="A29" t="n">
        <v>2026</v>
      </c>
      <c r="B29" t="inlineStr">
        <is>
          <t>AMD</t>
        </is>
      </c>
      <c r="C29" t="inlineStr">
        <is>
          <t>AMD MI355/MI450</t>
        </is>
      </c>
      <c r="D29" s="2" t="n">
        <v>1.152</v>
      </c>
      <c r="E29" s="2" t="n">
        <v>320</v>
      </c>
      <c r="F29">
        <f>D29*E29</f>
        <v/>
      </c>
      <c r="G29" t="inlineStr">
        <is>
          <t>KGI Fig.10（经 CoWoS 页）</t>
        </is>
      </c>
    </row>
    <row r="30">
      <c r="A30" t="n">
        <v>2026</v>
      </c>
      <c r="B30" t="inlineStr">
        <is>
          <t>其他/中国</t>
        </is>
      </c>
      <c r="C30" t="inlineStr">
        <is>
          <t>其他GPU 其他</t>
        </is>
      </c>
      <c r="D30" s="2" t="n">
        <v>0.55</v>
      </c>
      <c r="E30" s="2" t="n">
        <v>96</v>
      </c>
      <c r="F30">
        <f>D30*E30</f>
        <v/>
      </c>
      <c r="G30" t="inlineStr">
        <is>
          <t>KGI Fig.10（经 CoWoS 页）</t>
        </is>
      </c>
    </row>
    <row r="31">
      <c r="A31" t="n">
        <v>2026</v>
      </c>
      <c r="B31" t="inlineStr">
        <is>
          <t>谷歌TPU</t>
        </is>
      </c>
      <c r="C31" t="inlineStr">
        <is>
          <t>谷歌TPU Ironwood(v7)</t>
        </is>
      </c>
      <c r="D31" s="2" t="n">
        <v>4.02</v>
      </c>
      <c r="E31" s="2" t="n">
        <v>192</v>
      </c>
      <c r="F31">
        <f>D31*E31</f>
        <v/>
      </c>
      <c r="G31" t="inlineStr">
        <is>
          <t>KGI Fig.10（经 CoWoS 页）</t>
        </is>
      </c>
    </row>
    <row r="32">
      <c r="A32" t="n">
        <v>2026</v>
      </c>
      <c r="B32" t="inlineStr">
        <is>
          <t>AWS</t>
        </is>
      </c>
      <c r="C32" t="inlineStr">
        <is>
          <t>AWS Trainium2/3</t>
        </is>
      </c>
      <c r="D32" s="2" t="n">
        <v>2.428</v>
      </c>
      <c r="E32" s="2" t="n">
        <v>120</v>
      </c>
      <c r="F32">
        <f>D32*E32</f>
        <v/>
      </c>
      <c r="G32" t="inlineStr">
        <is>
          <t>KGI Fig.10（经 CoWoS 页）</t>
        </is>
      </c>
    </row>
    <row r="33">
      <c r="A33" t="n">
        <v>2026</v>
      </c>
      <c r="B33" t="inlineStr">
        <is>
          <t>其他/中国</t>
        </is>
      </c>
      <c r="C33" t="inlineStr">
        <is>
          <t>其他ASIC MTIA/Maia/OpenAI/其他</t>
        </is>
      </c>
      <c r="D33" s="2" t="n">
        <v>1.084</v>
      </c>
      <c r="E33" s="2" t="n">
        <v>150</v>
      </c>
      <c r="F33">
        <f>D33*E33</f>
        <v/>
      </c>
      <c r="G33" t="inlineStr">
        <is>
          <t>KGI Fig.10（经 CoWoS 页）</t>
        </is>
      </c>
    </row>
    <row r="34">
      <c r="A34" t="n">
        <v>2027</v>
      </c>
      <c r="B34" t="inlineStr">
        <is>
          <t>英伟达</t>
        </is>
      </c>
      <c r="C34" t="inlineStr">
        <is>
          <t>英伟达 B300</t>
        </is>
      </c>
      <c r="D34" s="2" t="n">
        <v>0.266</v>
      </c>
      <c r="E34" s="2" t="n">
        <v>288</v>
      </c>
      <c r="F34">
        <f>D34*E34</f>
        <v/>
      </c>
      <c r="G34" t="inlineStr">
        <is>
          <t>KGI Fig.10（经 CoWoS 页）</t>
        </is>
      </c>
    </row>
    <row r="35">
      <c r="A35" t="n">
        <v>2027</v>
      </c>
      <c r="B35" t="inlineStr">
        <is>
          <t>英伟达</t>
        </is>
      </c>
      <c r="C35" t="inlineStr">
        <is>
          <t>英伟达 Rubin</t>
        </is>
      </c>
      <c r="D35" s="2" t="n">
        <v>5.89</v>
      </c>
      <c r="E35" s="2" t="n">
        <v>288</v>
      </c>
      <c r="F35">
        <f>D35*E35</f>
        <v/>
      </c>
      <c r="G35" t="inlineStr">
        <is>
          <t>KGI Fig.10（经 CoWoS 页）</t>
        </is>
      </c>
    </row>
    <row r="36">
      <c r="A36" t="n">
        <v>2027</v>
      </c>
      <c r="B36" t="inlineStr">
        <is>
          <t>英伟达</t>
        </is>
      </c>
      <c r="C36" t="inlineStr">
        <is>
          <t>英伟达 Rubin Ultra</t>
        </is>
      </c>
      <c r="D36" s="2" t="n">
        <v>2.85</v>
      </c>
      <c r="E36" s="2" t="n">
        <v>256</v>
      </c>
      <c r="F36">
        <f>D36*E36</f>
        <v/>
      </c>
      <c r="G36" t="inlineStr">
        <is>
          <t>KGI Fig.10（经 CoWoS 页）</t>
        </is>
      </c>
    </row>
    <row r="37">
      <c r="A37" t="n">
        <v>2027</v>
      </c>
      <c r="B37" t="inlineStr">
        <is>
          <t>英伟达</t>
        </is>
      </c>
      <c r="C37" t="inlineStr">
        <is>
          <t>英伟达 Vera CPU</t>
        </is>
      </c>
      <c r="D37" s="2" t="n">
        <v>6</v>
      </c>
      <c r="E37" s="2" t="n">
        <v>0</v>
      </c>
      <c r="F37">
        <f>D37*E37</f>
        <v/>
      </c>
      <c r="G37" t="inlineStr">
        <is>
          <t>KGI 正文（经 CoWoS 页）</t>
        </is>
      </c>
    </row>
    <row r="38">
      <c r="A38" t="n">
        <v>2027</v>
      </c>
      <c r="B38" t="inlineStr">
        <is>
          <t>AMD</t>
        </is>
      </c>
      <c r="C38" t="inlineStr">
        <is>
          <t>AMD MI450/MI455</t>
        </is>
      </c>
      <c r="D38" s="2" t="n">
        <v>1.68</v>
      </c>
      <c r="E38" s="2" t="n">
        <v>432</v>
      </c>
      <c r="F38">
        <f>D38*E38</f>
        <v/>
      </c>
      <c r="G38" t="inlineStr">
        <is>
          <t>KGI Fig.10（经 CoWoS 页）</t>
        </is>
      </c>
    </row>
    <row r="39">
      <c r="A39" t="n">
        <v>2027</v>
      </c>
      <c r="B39" t="inlineStr">
        <is>
          <t>AMD</t>
        </is>
      </c>
      <c r="C39" t="inlineStr">
        <is>
          <t>AMD Venice CPU</t>
        </is>
      </c>
      <c r="D39" s="2" t="n">
        <v>4.75</v>
      </c>
      <c r="E39" s="2" t="n">
        <v>0</v>
      </c>
      <c r="F39">
        <f>D39*E39</f>
        <v/>
      </c>
      <c r="G39" t="inlineStr">
        <is>
          <t>KGI 正文(4.5–5.0M)（经 CoWoS 页）</t>
        </is>
      </c>
    </row>
    <row r="40">
      <c r="A40" t="n">
        <v>2027</v>
      </c>
      <c r="B40" t="inlineStr">
        <is>
          <t>其他/中国</t>
        </is>
      </c>
      <c r="C40" t="inlineStr">
        <is>
          <t>其他GPU 其他</t>
        </is>
      </c>
      <c r="D40" s="2" t="n">
        <v>0.6</v>
      </c>
      <c r="E40" s="2" t="n">
        <v>96</v>
      </c>
      <c r="F40">
        <f>D40*E40</f>
        <v/>
      </c>
      <c r="G40" t="inlineStr">
        <is>
          <t>KGI Fig.10（经 CoWoS 页）</t>
        </is>
      </c>
    </row>
    <row r="41">
      <c r="A41" t="n">
        <v>2027</v>
      </c>
      <c r="B41" t="inlineStr">
        <is>
          <t>谷歌TPU</t>
        </is>
      </c>
      <c r="C41" t="inlineStr">
        <is>
          <t>谷歌TPU v8i Sunfish + v8t Zebrafish</t>
        </is>
      </c>
      <c r="D41" s="2" t="n">
        <v>9.103999999999999</v>
      </c>
      <c r="E41" s="2" t="n">
        <v>260</v>
      </c>
      <c r="F41">
        <f>D41*E41</f>
        <v/>
      </c>
      <c r="G41" t="inlineStr">
        <is>
          <t>KGI Fig.10（经 CoWoS 页）</t>
        </is>
      </c>
    </row>
    <row r="42">
      <c r="A42" t="n">
        <v>2027</v>
      </c>
      <c r="B42" t="inlineStr">
        <is>
          <t>AWS</t>
        </is>
      </c>
      <c r="C42" t="inlineStr">
        <is>
          <t>AWS Trainium3</t>
        </is>
      </c>
      <c r="D42" s="2" t="n">
        <v>3.06</v>
      </c>
      <c r="E42" s="2" t="n">
        <v>144</v>
      </c>
      <c r="F42">
        <f>D42*E42</f>
        <v/>
      </c>
      <c r="G42" t="inlineStr">
        <is>
          <t>KGI Fig.10（经 CoWoS 页）</t>
        </is>
      </c>
    </row>
    <row r="43">
      <c r="A43" t="n">
        <v>2027</v>
      </c>
      <c r="B43" t="inlineStr">
        <is>
          <t>其他/中国</t>
        </is>
      </c>
      <c r="C43" t="inlineStr">
        <is>
          <t>其他ASIC Maia/MTIA/OpenAI/其他</t>
        </is>
      </c>
      <c r="D43" s="2" t="n">
        <v>2.3</v>
      </c>
      <c r="E43" s="2" t="n">
        <v>200</v>
      </c>
      <c r="F43">
        <f>D43*E43</f>
        <v/>
      </c>
      <c r="G43" t="inlineStr">
        <is>
          <t>KGI Fig.10（经 CoWoS 页）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年均月投片(千片)</t>
        </is>
      </c>
      <c r="D1" s="1" t="inlineStr">
        <is>
          <t>每片有效GB</t>
        </is>
      </c>
      <c r="E1" s="1" t="inlineStr">
        <is>
          <t>稼动率</t>
        </is>
      </c>
      <c r="F1" s="1" t="inlineStr">
        <is>
          <t>年供给(PB)</t>
        </is>
      </c>
    </row>
    <row r="2">
      <c r="A2" t="n">
        <v>2025</v>
      </c>
      <c r="B2" t="inlineStr">
        <is>
          <t>SK hynix</t>
        </is>
      </c>
      <c r="C2" s="2" t="n">
        <v>160</v>
      </c>
      <c r="D2" s="2" t="n">
        <v>750</v>
      </c>
      <c r="E2" s="2" t="n">
        <v>0.85</v>
      </c>
      <c r="F2">
        <f>C2*12*D2*E2/1000</f>
        <v/>
      </c>
    </row>
    <row r="3">
      <c r="A3" t="n">
        <v>2025</v>
      </c>
      <c r="B3" t="inlineStr">
        <is>
          <t>Samsung</t>
        </is>
      </c>
      <c r="C3" s="2" t="n">
        <v>136.9</v>
      </c>
      <c r="D3" s="2" t="n">
        <v>750</v>
      </c>
      <c r="E3" s="2" t="n">
        <v>0.85</v>
      </c>
      <c r="F3">
        <f>C3*12*D3*E3/1000</f>
        <v/>
      </c>
    </row>
    <row r="4">
      <c r="A4" t="n">
        <v>2025</v>
      </c>
      <c r="B4" t="inlineStr">
        <is>
          <t>Micron</t>
        </is>
      </c>
      <c r="C4" s="2" t="n">
        <v>51.9</v>
      </c>
      <c r="D4" s="2" t="n">
        <v>750</v>
      </c>
      <c r="E4" s="2" t="n">
        <v>0.85</v>
      </c>
      <c r="F4">
        <f>C4*12*D4*E4/1000</f>
        <v/>
      </c>
    </row>
    <row r="5">
      <c r="A5" t="n">
        <v>2025</v>
      </c>
      <c r="B5" t="inlineStr">
        <is>
          <t>CXMT</t>
        </is>
      </c>
      <c r="C5" s="2" t="n">
        <v>0</v>
      </c>
      <c r="D5" s="2" t="n">
        <v>750</v>
      </c>
      <c r="E5" s="2" t="n">
        <v>0.85</v>
      </c>
      <c r="F5">
        <f>C5*12*D5*E5/1000</f>
        <v/>
      </c>
    </row>
    <row r="6">
      <c r="A6" t="n">
        <v>2026</v>
      </c>
      <c r="B6" t="inlineStr">
        <is>
          <t>SK hynix</t>
        </is>
      </c>
      <c r="C6" s="2" t="n">
        <v>209.4</v>
      </c>
      <c r="D6" s="2" t="n">
        <v>880</v>
      </c>
      <c r="E6" s="2" t="n">
        <v>0.9</v>
      </c>
      <c r="F6">
        <f>C6*12*D6*E6/1000</f>
        <v/>
      </c>
    </row>
    <row r="7">
      <c r="A7" t="n">
        <v>2026</v>
      </c>
      <c r="B7" t="inlineStr">
        <is>
          <t>Samsung</t>
        </is>
      </c>
      <c r="C7" s="2" t="n">
        <v>162.5</v>
      </c>
      <c r="D7" s="2" t="n">
        <v>880</v>
      </c>
      <c r="E7" s="2" t="n">
        <v>0.9</v>
      </c>
      <c r="F7">
        <f>C7*12*D7*E7/1000</f>
        <v/>
      </c>
    </row>
    <row r="8">
      <c r="A8" t="n">
        <v>2026</v>
      </c>
      <c r="B8" t="inlineStr">
        <is>
          <t>Micron</t>
        </is>
      </c>
      <c r="C8" s="2" t="n">
        <v>86.90000000000001</v>
      </c>
      <c r="D8" s="2" t="n">
        <v>880</v>
      </c>
      <c r="E8" s="2" t="n">
        <v>0.9</v>
      </c>
      <c r="F8">
        <f>C8*12*D8*E8/1000</f>
        <v/>
      </c>
    </row>
    <row r="9">
      <c r="A9" t="n">
        <v>2026</v>
      </c>
      <c r="B9" t="inlineStr">
        <is>
          <t>CXMT</t>
        </is>
      </c>
      <c r="C9" s="2" t="n">
        <v>6.2</v>
      </c>
      <c r="D9" s="2" t="n">
        <v>880</v>
      </c>
      <c r="E9" s="2" t="n">
        <v>0.9</v>
      </c>
      <c r="F9">
        <f>C9*12*D9*E9/1000</f>
        <v/>
      </c>
    </row>
    <row r="10">
      <c r="A10" t="n">
        <v>2027</v>
      </c>
      <c r="B10" t="inlineStr">
        <is>
          <t>SK hynix</t>
        </is>
      </c>
      <c r="C10" s="2" t="n">
        <v>255</v>
      </c>
      <c r="D10" s="2" t="n">
        <v>880</v>
      </c>
      <c r="E10" s="2" t="n">
        <v>0.9</v>
      </c>
      <c r="F10">
        <f>C10*12*D10*E10/1000</f>
        <v/>
      </c>
    </row>
    <row r="11">
      <c r="A11" t="n">
        <v>2027</v>
      </c>
      <c r="B11" t="inlineStr">
        <is>
          <t>Samsung</t>
        </is>
      </c>
      <c r="C11" s="2" t="n">
        <v>226.2</v>
      </c>
      <c r="D11" s="2" t="n">
        <v>880</v>
      </c>
      <c r="E11" s="2" t="n">
        <v>0.9</v>
      </c>
      <c r="F11">
        <f>C11*12*D11*E11/1000</f>
        <v/>
      </c>
    </row>
    <row r="12">
      <c r="A12" t="n">
        <v>2027</v>
      </c>
      <c r="B12" t="inlineStr">
        <is>
          <t>Micron</t>
        </is>
      </c>
      <c r="C12" s="2" t="n">
        <v>137.5</v>
      </c>
      <c r="D12" s="2" t="n">
        <v>880</v>
      </c>
      <c r="E12" s="2" t="n">
        <v>0.9</v>
      </c>
      <c r="F12">
        <f>C12*12*D12*E12/1000</f>
        <v/>
      </c>
    </row>
    <row r="13">
      <c r="A13" t="n">
        <v>2027</v>
      </c>
      <c r="B13" t="inlineStr">
        <is>
          <t>CXMT</t>
        </is>
      </c>
      <c r="C13" s="2" t="n">
        <v>19.4</v>
      </c>
      <c r="D13" s="2" t="n">
        <v>880</v>
      </c>
      <c r="E13" s="2" t="n">
        <v>0.9</v>
      </c>
      <c r="F13">
        <f>C13*12*D13*E13/1000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季度</t>
        </is>
      </c>
      <c r="B1" s="1" t="inlineStr">
        <is>
          <t>类型</t>
        </is>
      </c>
      <c r="C1" s="1" t="inlineStr">
        <is>
          <t>SK hynix</t>
        </is>
      </c>
      <c r="D1" s="1" t="inlineStr">
        <is>
          <t>Samsung</t>
        </is>
      </c>
      <c r="E1" s="1" t="inlineStr">
        <is>
          <t>Micron</t>
        </is>
      </c>
      <c r="F1" s="1" t="inlineStr">
        <is>
          <t>CXMT</t>
        </is>
      </c>
    </row>
    <row r="2">
      <c r="A2" t="inlineStr">
        <is>
          <t>1Q23</t>
        </is>
      </c>
      <c r="B2" t="inlineStr">
        <is>
          <t>图读数</t>
        </is>
      </c>
      <c r="C2" t="n">
        <v>15</v>
      </c>
      <c r="D2" t="n">
        <v>15</v>
      </c>
      <c r="E2" t="n">
        <v>4</v>
      </c>
      <c r="F2" t="n">
        <v>0</v>
      </c>
    </row>
    <row r="3">
      <c r="A3" t="inlineStr">
        <is>
          <t>2Q23</t>
        </is>
      </c>
      <c r="B3" t="inlineStr">
        <is>
          <t>图读数</t>
        </is>
      </c>
      <c r="C3" t="n">
        <v>20</v>
      </c>
      <c r="D3" t="n">
        <v>20</v>
      </c>
      <c r="E3" t="n">
        <v>4</v>
      </c>
      <c r="F3" t="n">
        <v>0</v>
      </c>
    </row>
    <row r="4">
      <c r="A4" t="inlineStr">
        <is>
          <t>3Q23</t>
        </is>
      </c>
      <c r="B4" t="inlineStr">
        <is>
          <t>图读数</t>
        </is>
      </c>
      <c r="C4" t="n">
        <v>35</v>
      </c>
      <c r="D4" t="n">
        <v>35</v>
      </c>
      <c r="E4" t="n">
        <v>4</v>
      </c>
      <c r="F4" t="n">
        <v>0</v>
      </c>
    </row>
    <row r="5">
      <c r="A5" t="inlineStr">
        <is>
          <t>4Q23</t>
        </is>
      </c>
      <c r="B5" t="inlineStr">
        <is>
          <t>图读数</t>
        </is>
      </c>
      <c r="C5" t="n">
        <v>45</v>
      </c>
      <c r="D5" t="n">
        <v>45</v>
      </c>
      <c r="E5" t="n">
        <v>4</v>
      </c>
      <c r="F5" t="n">
        <v>0</v>
      </c>
    </row>
    <row r="6">
      <c r="A6" t="inlineStr">
        <is>
          <t>1Q24</t>
        </is>
      </c>
      <c r="B6" t="inlineStr">
        <is>
          <t>图读数</t>
        </is>
      </c>
      <c r="C6" t="n">
        <v>60</v>
      </c>
      <c r="D6" t="n">
        <v>45</v>
      </c>
      <c r="E6" t="n">
        <v>10</v>
      </c>
      <c r="F6" t="n">
        <v>0</v>
      </c>
    </row>
    <row r="7">
      <c r="A7" t="inlineStr">
        <is>
          <t>2Q24</t>
        </is>
      </c>
      <c r="B7" t="inlineStr">
        <is>
          <t>图读数</t>
        </is>
      </c>
      <c r="C7" t="n">
        <v>80</v>
      </c>
      <c r="D7" t="n">
        <v>45</v>
      </c>
      <c r="E7" t="n">
        <v>15</v>
      </c>
      <c r="F7" t="n">
        <v>0</v>
      </c>
    </row>
    <row r="8">
      <c r="A8" t="inlineStr">
        <is>
          <t>3Q24</t>
        </is>
      </c>
      <c r="B8" t="inlineStr">
        <is>
          <t>图读数</t>
        </is>
      </c>
      <c r="C8" t="n">
        <v>110</v>
      </c>
      <c r="D8" t="n">
        <v>80</v>
      </c>
      <c r="E8" t="n">
        <v>25</v>
      </c>
      <c r="F8" t="n">
        <v>0</v>
      </c>
    </row>
    <row r="9">
      <c r="A9" t="inlineStr">
        <is>
          <t>4Q24</t>
        </is>
      </c>
      <c r="B9" t="inlineStr">
        <is>
          <t>图读数</t>
        </is>
      </c>
      <c r="C9" t="n">
        <v>135</v>
      </c>
      <c r="D9" t="n">
        <v>115</v>
      </c>
      <c r="E9" t="n">
        <v>30</v>
      </c>
      <c r="F9" t="n">
        <v>0</v>
      </c>
    </row>
    <row r="10">
      <c r="A10" t="inlineStr">
        <is>
          <t>1Q25</t>
        </is>
      </c>
      <c r="B10" t="inlineStr">
        <is>
          <t>插值</t>
        </is>
      </c>
      <c r="C10" t="n">
        <v>145</v>
      </c>
      <c r="D10" t="n">
        <v>123.8</v>
      </c>
      <c r="E10" t="n">
        <v>38.8</v>
      </c>
      <c r="F10" t="n">
        <v>0</v>
      </c>
    </row>
    <row r="11">
      <c r="A11" t="inlineStr">
        <is>
          <t>2Q25</t>
        </is>
      </c>
      <c r="B11" t="inlineStr">
        <is>
          <t>插值</t>
        </is>
      </c>
      <c r="C11" t="n">
        <v>155</v>
      </c>
      <c r="D11" t="n">
        <v>132.5</v>
      </c>
      <c r="E11" t="n">
        <v>47.5</v>
      </c>
      <c r="F11" t="n">
        <v>0</v>
      </c>
    </row>
    <row r="12">
      <c r="A12" t="inlineStr">
        <is>
          <t>3Q25</t>
        </is>
      </c>
      <c r="B12" t="inlineStr">
        <is>
          <t>插值</t>
        </is>
      </c>
      <c r="C12" t="n">
        <v>165</v>
      </c>
      <c r="D12" t="n">
        <v>141.2</v>
      </c>
      <c r="E12" t="n">
        <v>56.2</v>
      </c>
      <c r="F12" t="n">
        <v>0</v>
      </c>
    </row>
    <row r="13">
      <c r="A13" t="inlineStr">
        <is>
          <t>4Q25</t>
        </is>
      </c>
      <c r="B13" t="inlineStr">
        <is>
          <t>锚点</t>
        </is>
      </c>
      <c r="C13" t="n">
        <v>175</v>
      </c>
      <c r="D13" t="n">
        <v>150</v>
      </c>
      <c r="E13" t="n">
        <v>65</v>
      </c>
      <c r="F13" t="n">
        <v>0</v>
      </c>
    </row>
    <row r="14">
      <c r="A14" t="inlineStr">
        <is>
          <t>1Q26</t>
        </is>
      </c>
      <c r="B14" t="inlineStr">
        <is>
          <t>插值</t>
        </is>
      </c>
      <c r="C14" t="n">
        <v>188.8</v>
      </c>
      <c r="D14" t="n">
        <v>155</v>
      </c>
      <c r="E14" t="n">
        <v>73.8</v>
      </c>
      <c r="F14" t="n">
        <v>2.5</v>
      </c>
    </row>
    <row r="15">
      <c r="A15" t="inlineStr">
        <is>
          <t>2Q26</t>
        </is>
      </c>
      <c r="B15" t="inlineStr">
        <is>
          <t>插值</t>
        </is>
      </c>
      <c r="C15" t="n">
        <v>202.5</v>
      </c>
      <c r="D15" t="n">
        <v>160</v>
      </c>
      <c r="E15" t="n">
        <v>82.5</v>
      </c>
      <c r="F15" t="n">
        <v>5</v>
      </c>
    </row>
    <row r="16">
      <c r="A16" t="inlineStr">
        <is>
          <t>3Q26</t>
        </is>
      </c>
      <c r="B16" t="inlineStr">
        <is>
          <t>插值</t>
        </is>
      </c>
      <c r="C16" t="n">
        <v>216.2</v>
      </c>
      <c r="D16" t="n">
        <v>165</v>
      </c>
      <c r="E16" t="n">
        <v>91.2</v>
      </c>
      <c r="F16" t="n">
        <v>7.5</v>
      </c>
    </row>
    <row r="17">
      <c r="A17" t="inlineStr">
        <is>
          <t>4Q26</t>
        </is>
      </c>
      <c r="B17" t="inlineStr">
        <is>
          <t>锚点</t>
        </is>
      </c>
      <c r="C17" t="n">
        <v>230</v>
      </c>
      <c r="D17" t="n">
        <v>170</v>
      </c>
      <c r="E17" t="n">
        <v>100</v>
      </c>
      <c r="F17" t="n">
        <v>10</v>
      </c>
    </row>
    <row r="18">
      <c r="A18" t="inlineStr">
        <is>
          <t>1Q27</t>
        </is>
      </c>
      <c r="B18" t="inlineStr">
        <is>
          <t>插值</t>
        </is>
      </c>
      <c r="C18" t="n">
        <v>240</v>
      </c>
      <c r="D18" t="n">
        <v>192.5</v>
      </c>
      <c r="E18" t="n">
        <v>115</v>
      </c>
      <c r="F18" t="n">
        <v>13.8</v>
      </c>
    </row>
    <row r="19">
      <c r="A19" t="inlineStr">
        <is>
          <t>2Q27</t>
        </is>
      </c>
      <c r="B19" t="inlineStr">
        <is>
          <t>插值</t>
        </is>
      </c>
      <c r="C19" t="n">
        <v>250</v>
      </c>
      <c r="D19" t="n">
        <v>215</v>
      </c>
      <c r="E19" t="n">
        <v>130</v>
      </c>
      <c r="F19" t="n">
        <v>17.5</v>
      </c>
    </row>
    <row r="20">
      <c r="A20" t="inlineStr">
        <is>
          <t>3Q27</t>
        </is>
      </c>
      <c r="B20" t="inlineStr">
        <is>
          <t>插值</t>
        </is>
      </c>
      <c r="C20" t="n">
        <v>260</v>
      </c>
      <c r="D20" t="n">
        <v>237.5</v>
      </c>
      <c r="E20" t="n">
        <v>145</v>
      </c>
      <c r="F20" t="n">
        <v>21.2</v>
      </c>
    </row>
    <row r="21">
      <c r="A21" t="inlineStr">
        <is>
          <t>4Q27</t>
        </is>
      </c>
      <c r="B21" t="inlineStr">
        <is>
          <t>锚点</t>
        </is>
      </c>
      <c r="C21" t="n">
        <v>270</v>
      </c>
      <c r="D21" t="n">
        <v>260</v>
      </c>
      <c r="E21" t="n">
        <v>160</v>
      </c>
      <c r="F21" t="n">
        <v>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需求(EB)</t>
        </is>
      </c>
      <c r="C1" s="1" t="inlineStr">
        <is>
          <t>供给(EB)</t>
        </is>
      </c>
      <c r="D1" s="1" t="inlineStr">
        <is>
          <t>缺口/需求</t>
        </is>
      </c>
    </row>
    <row r="2">
      <c r="A2" t="n">
        <v>2025</v>
      </c>
      <c r="B2">
        <f>SUMIF(需求!A2:A43,A2,需求!F2:F43)/1000</f>
        <v/>
      </c>
      <c r="C2">
        <f>SUMIF(供给!A2:A13,A2,供给!F2:F13)/1000</f>
        <v/>
      </c>
      <c r="D2">
        <f>(C2-B2)/B2</f>
        <v/>
      </c>
    </row>
    <row r="3">
      <c r="A3" t="n">
        <v>2026</v>
      </c>
      <c r="B3">
        <f>SUMIF(需求!A2:A43,A3,需求!F2:F43)/1000</f>
        <v/>
      </c>
      <c r="C3">
        <f>SUMIF(供给!A2:A13,A3,供给!F2:F13)/1000</f>
        <v/>
      </c>
      <c r="D3">
        <f>(C3-B3)/B3</f>
        <v/>
      </c>
    </row>
    <row r="4">
      <c r="A4" t="n">
        <v>2027</v>
      </c>
      <c r="B4">
        <f>SUMIF(需求!A2:A43,A4,需求!F2:F43)/1000</f>
        <v/>
      </c>
      <c r="C4">
        <f>SUMIF(供给!A2:A13,A4,供给!F2:F13)/1000</f>
        <v/>
      </c>
      <c r="D4">
        <f>(C4-B4)/B4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本模型</t>
        </is>
      </c>
      <c r="C1" t="inlineStr">
        <is>
          <t>外部口径</t>
        </is>
      </c>
      <c r="D1" t="inlineStr">
        <is>
          <t>来源</t>
        </is>
      </c>
    </row>
    <row r="2">
      <c r="A2" t="inlineStr">
        <is>
          <t>2025 产量</t>
        </is>
      </c>
      <c r="B2" t="inlineStr">
        <is>
          <t>2.67</t>
        </is>
      </c>
      <c r="C2" t="inlineStr">
        <is>
          <t>2.63</t>
        </is>
      </c>
      <c r="D2" t="inlineStr">
        <is>
          <t>iM 证券 2026-06（源65）</t>
        </is>
      </c>
    </row>
    <row r="3">
      <c r="A3" t="inlineStr">
        <is>
          <t>2026 产量</t>
        </is>
      </c>
      <c r="B3" t="inlineStr">
        <is>
          <t>4.42</t>
        </is>
      </c>
      <c r="C3" t="inlineStr">
        <is>
          <t>4.44</t>
        </is>
      </c>
      <c r="D3" t="inlineStr">
        <is>
          <t>iM 证券 2026-06（源65）</t>
        </is>
      </c>
    </row>
    <row r="4">
      <c r="A4" t="inlineStr">
        <is>
          <t>2026 需求</t>
        </is>
      </c>
      <c r="B4" t="inlineStr">
        <is>
          <t>3.84</t>
        </is>
      </c>
      <c r="C4" t="inlineStr">
        <is>
          <t>4.23（iM）/ &gt;3.75（TrendForce 2025-05）</t>
        </is>
      </c>
      <c r="D4" t="inlineStr">
        <is>
          <t>iM 证券（源65）/ TrendForce（源37）</t>
        </is>
      </c>
    </row>
    <row r="5">
      <c r="A5" t="inlineStr">
        <is>
          <t>2027 供给增速</t>
        </is>
      </c>
      <c r="B5" t="inlineStr">
        <is>
          <t>+37%</t>
        </is>
      </c>
      <c r="C5" t="inlineStr">
        <is>
          <t>+45–50%</t>
        </is>
      </c>
      <c r="D5" t="inlineStr">
        <is>
          <t>KGI（源55）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编号</t>
        </is>
      </c>
      <c r="B1" t="inlineStr">
        <is>
          <t>说明</t>
        </is>
      </c>
      <c r="C1" t="inlineStr">
        <is>
          <t>链接</t>
        </is>
      </c>
    </row>
    <row r="2">
      <c r="A2" t="n">
        <v>1</v>
      </c>
      <c r="B2" t="inlineStr">
        <is>
          <t>TrendForce：HBM 投片/位元占比、2027 合约价</t>
        </is>
      </c>
      <c r="C2" t="inlineStr">
        <is>
          <t>https://www.trendforce.com/presscenter/news/20260602-13074.html</t>
        </is>
      </c>
    </row>
    <row r="3">
      <c r="A3" t="n">
        <v>2</v>
      </c>
      <c r="B3" t="inlineStr">
        <is>
          <t>TrendForce HBM 3Q26 报告摘要</t>
        </is>
      </c>
      <c r="C3" t="inlineStr">
        <is>
          <t>https://www.trendforce.com/research/download/RP260805KC3</t>
        </is>
      </c>
    </row>
    <row r="4">
      <c r="A4" t="n">
        <v>3</v>
      </c>
      <c r="B4" t="inlineStr">
        <is>
          <t>TrendForce HBM 价格展望摘要</t>
        </is>
      </c>
      <c r="C4" t="inlineStr">
        <is>
          <t>https://www.trendforce.com/research/download/RP260527UC</t>
        </is>
      </c>
    </row>
    <row r="5">
      <c r="A5" t="n">
        <v>4</v>
      </c>
      <c r="B5" t="inlineStr">
        <is>
          <t>SK 海力士 2Q26 财报</t>
        </is>
      </c>
      <c r="C5" t="inlineStr">
        <is>
          <t>https://news.skhynix.com/en/q2-2026-business-results/</t>
        </is>
      </c>
    </row>
    <row r="6">
      <c r="A6" t="n">
        <v>5</v>
      </c>
      <c r="B6" t="inlineStr">
        <is>
          <t>首尔经济：海力士财报会（HBM4 良率）</t>
        </is>
      </c>
      <c r="C6" t="inlineStr">
        <is>
          <t>https://en.sedaily.com/finance/2026/07/29/sk-hynix-ramps-up-hbm4-in-second-half-to-boost-record-763</t>
        </is>
      </c>
    </row>
    <row r="7">
      <c r="A7" t="n">
        <v>6</v>
      </c>
      <c r="B7" t="inlineStr">
        <is>
          <t>美光 FQ4 2026 财报</t>
        </is>
      </c>
      <c r="C7" t="inlineStr">
        <is>
          <t>https://investors.micron.com/news/press-release/2026/Micron-Technology-Inc--Reports-Record-Fiscal-Fourth-Quarter-and-Full-Year-2026-Results/default.aspx</t>
        </is>
      </c>
    </row>
    <row r="8">
      <c r="A8" t="n">
        <v>7</v>
      </c>
      <c r="B8" t="inlineStr">
        <is>
          <t>TrendForce 转 ETNews/Chosun：美光 10 万片、三星 15 万片</t>
        </is>
      </c>
      <c r="C8" t="inlineStr">
        <is>
          <t>https://www.trendforce.com/news/2026/09/04/news-micron-reportedly-to-add-60k-hbm-wafersm-reaching-100k-by-year-end-to-narrow-gap-with-samsung-sk-hynix/</t>
        </is>
      </c>
    </row>
    <row r="9">
      <c r="A9" t="n">
        <v>8</v>
      </c>
      <c r="B9" t="inlineStr">
        <is>
          <t>BigGo：三星 18 万 → 25 万片、base die 路线</t>
        </is>
      </c>
      <c r="C9" t="inlineStr">
        <is>
          <t>https://finance.biggo.com/news/a6fce0cd-0fa5-463a-843d-d450cb21504a</t>
        </is>
      </c>
    </row>
    <row r="10">
      <c r="A10" t="n">
        <v>9</v>
      </c>
      <c r="B10" t="inlineStr">
        <is>
          <t>Silicon Analysts：良率才是瓶颈、3 倍耗片</t>
        </is>
      </c>
      <c r="C10" t="inlineStr">
        <is>
          <t>https://siliconanalysts.com/analysis/hbm4-capacity-bottleneck-2026-samsung-sk-hynix-qual</t>
        </is>
      </c>
    </row>
    <row r="11">
      <c r="A11" t="n">
        <v>10</v>
      </c>
      <c r="B11" t="inlineStr">
        <is>
          <t>三星 3Q26 业绩指引</t>
        </is>
      </c>
      <c r="C11" t="inlineStr">
        <is>
          <t>https://news.samsung.com/global/samsung-electronics-announces-earnings-guidance-for-third-quarter-2026</t>
        </is>
      </c>
    </row>
    <row r="12">
      <c r="A12" t="n">
        <v>11</v>
      </c>
      <c r="B12" t="inlineStr">
        <is>
          <t>Counterpoint HBM 份额</t>
        </is>
      </c>
      <c r="C12" t="inlineStr">
        <is>
          <t>https://counterpointresearch.com/en/insights/global-dram-and-hbm-market-share</t>
        </is>
      </c>
    </row>
    <row r="13">
      <c r="A13" t="n">
        <v>12</v>
      </c>
      <c r="B13" t="inlineStr">
        <is>
          <t>TrendForce 转经济日报：CoWoS 产能</t>
        </is>
      </c>
      <c r="C13" t="inlineStr">
        <is>
          <t>https://www.trendforce.com/news/2026/06/15/news-tsmc-cowos-supply-demand-gap-reportedly-seen-narrowing-from-20-to-10-by-end-2026-as-capacity-expands/</t>
        </is>
      </c>
    </row>
    <row r="14">
      <c r="A14" t="n">
        <v>13</v>
      </c>
      <c r="B14" t="inlineStr">
        <is>
          <t>Hilo 转述摩根士丹利：2027 CoWoS 200k</t>
        </is>
      </c>
      <c r="C14" t="inlineStr">
        <is>
          <t>https://www.xxquant.com/en/institution/institutional-research/f7e9d2c0b2fbcc074e2beadf4a047434</t>
        </is>
      </c>
    </row>
    <row r="15">
      <c r="A15" t="n">
        <v>14</v>
      </c>
      <c r="B15" t="inlineStr">
        <is>
          <t>Hilo：Blackwell/Rubin 出货</t>
        </is>
      </c>
      <c r="C15" t="inlineStr">
        <is>
          <t>https://www.xxquant.com/en/institution/institutional-research/0a814e35a57b0479f86051f2dabbc088</t>
        </is>
      </c>
    </row>
    <row r="16">
      <c r="A16" t="n">
        <v>15</v>
      </c>
      <c r="B16" t="inlineStr">
        <is>
          <t>老虎证券转 JPMorgan：TPU 370 万/500 万</t>
        </is>
      </c>
      <c r="C16" t="inlineStr">
        <is>
          <t>https://www.itiger.com/hans/news/1109625222</t>
        </is>
      </c>
    </row>
    <row r="17">
      <c r="A17" t="n">
        <v>16</v>
      </c>
      <c r="B17" t="inlineStr">
        <is>
          <t>TrendForce：Blackwell 占 2026 高端 GPU 超 70%</t>
        </is>
      </c>
      <c r="C17" t="inlineStr">
        <is>
          <t>https://www.trendforce.com/presscenter/news/20260408-13003.html</t>
        </is>
      </c>
    </row>
    <row r="18">
      <c r="A18" t="n">
        <v>17</v>
      </c>
      <c r="B18" t="inlineStr">
        <is>
          <t>首尔经济：韩美 442 亿韩元 TCB 订单</t>
        </is>
      </c>
      <c r="C18" t="inlineStr">
        <is>
          <t>https://en.sedaily.com/finance/2026/06/08/hanmi-semiconductor-wins-442-billion-won-order-to-supply</t>
        </is>
      </c>
    </row>
    <row r="19">
      <c r="A19" t="n">
        <v>18</v>
      </c>
      <c r="B19" t="inlineStr">
        <is>
          <t>The Elec：ASMPT 获海力士 HBM4 TCB 订单</t>
        </is>
      </c>
      <c r="C19" t="inlineStr">
        <is>
          <t>https://www.thelec.net/news/articleView.html?idxno=5517</t>
        </is>
      </c>
    </row>
    <row r="20">
      <c r="A20" t="n">
        <v>19</v>
      </c>
      <c r="B20" t="inlineStr">
        <is>
          <t>亚洲经济：韩美二代混合键合机</t>
        </is>
      </c>
      <c r="C20" t="inlineStr">
        <is>
          <t>https://www.asiae.co.kr/en/article/2026040909273077978</t>
        </is>
      </c>
    </row>
    <row r="21">
      <c r="A21" t="n">
        <v>20</v>
      </c>
      <c r="B21" t="inlineStr">
        <is>
          <t>首尔经济：韩国 9 月出口</t>
        </is>
      </c>
      <c r="C21" t="inlineStr">
        <is>
          <t>https://en.sedaily.com/finance/2026/10/01/koreas-september-exports-hit-record-1209-billion-on-chip</t>
        </is>
      </c>
    </row>
    <row r="22">
      <c r="A22" t="n">
        <v>21</v>
      </c>
      <c r="B22" t="inlineStr">
        <is>
          <t>亚洲经济：10 月 1–10 日出口</t>
        </is>
      </c>
      <c r="C22" t="inlineStr">
        <is>
          <t>https://www.asiae.co.kr/en/article/2026101209183424033</t>
        </is>
      </c>
    </row>
    <row r="23">
      <c r="A23" t="n">
        <v>22</v>
      </c>
      <c r="B23" t="inlineStr">
        <is>
          <t>The Economy：长鑫 HBM 良率 25%</t>
        </is>
      </c>
      <c r="C23" t="inlineStr">
        <is>
          <t>https://economy.ac/news/2026/09/202609295581</t>
        </is>
      </c>
    </row>
    <row r="24">
      <c r="A24" t="n">
        <v>23</v>
      </c>
      <c r="B24" t="inlineStr">
        <is>
          <t>SK海力士 IR：股权结构（SK Square 20.5%，2026-05-06）</t>
        </is>
      </c>
      <c r="C24" t="inlineStr">
        <is>
          <t>https://www.skhynix.com/ir/UI-FR-IR04/</t>
        </is>
      </c>
    </row>
    <row r="25">
      <c r="A25" t="n">
        <v>24</v>
      </c>
      <c r="B25" t="inlineStr">
        <is>
          <t>三星证券 2024-03 报告（HBM Capa 季度图）</t>
        </is>
      </c>
      <c r="C25" t="inlineStr">
        <is>
          <t>https://www.samsungpop.com/common.do?cmd=down&amp;contentType=application%2Fpdf&amp;fileName=2020%2F2024032107171771K_02_03.pdf&amp;inlineYn=Y&amp;saveKey=research.pdf</t>
        </is>
      </c>
    </row>
    <row r="26">
      <c r="A26" t="n">
        <v>25</v>
      </c>
      <c r="B26" t="inlineStr">
        <is>
          <t>TrendForce 2024-03：2024 HBM 位元供给 +260%、die 大 35–45%、良率低 20–30%、年底产能</t>
        </is>
      </c>
      <c r="C26" t="inlineStr">
        <is>
          <t>https://www.trendforce.com/presscenter/news/20240318-12081.html</t>
        </is>
      </c>
    </row>
    <row r="27">
      <c r="A27" t="n">
        <v>26</v>
      </c>
      <c r="B27" t="inlineStr">
        <is>
          <t>TrendForce 转工商时报：美光广岛 4Q24 约 2.5 万片</t>
        </is>
      </c>
      <c r="C27" t="inlineStr">
        <is>
          <t>https://www.trendforce.com/news/2024/07/10/news-samsung-sk-hynix-and-micron-ramp-up-hbm-production-reportedly-doubling-output-next-year/</t>
        </is>
      </c>
    </row>
    <row r="28">
      <c r="A28" t="n">
        <v>27</v>
      </c>
      <c r="B28" t="inlineStr">
        <is>
          <t>Jukan 转三星证券 2025-05：2025 年底产能</t>
        </is>
      </c>
      <c r="C28" t="inlineStr">
        <is>
          <t>https://www.semiconsam.com/p/samsung-securities-hbm-analysis-2025515</t>
        </is>
      </c>
    </row>
    <row r="29">
      <c r="A29" t="n">
        <v>28</v>
      </c>
      <c r="B29" t="inlineStr">
        <is>
          <t>BusinessKorea：三星 18 万 → 25 万片、M15X 扩至 8 万片</t>
        </is>
      </c>
      <c r="C29" t="inlineStr">
        <is>
          <t>https://www.businesskorea.co.kr/news/articleView.html?idxno=277595</t>
        </is>
      </c>
    </row>
    <row r="30">
      <c r="A30" t="n">
        <v>29</v>
      </c>
      <c r="B30" t="inlineStr">
        <is>
          <t>首尔经济 2025-12：M15X 投资、洁净室时间表、龙仁一厂 35 万片</t>
        </is>
      </c>
      <c r="C30" t="inlineStr">
        <is>
          <t>https://en.sedaily.com/finance/2025/12/25/sk-hynix-to-launch-m15x-fab-in-may-2026-cementing-global-ai</t>
        </is>
      </c>
    </row>
    <row r="31">
      <c r="A31" t="n">
        <v>30</v>
      </c>
      <c r="B31" t="inlineStr">
        <is>
          <t>韩国产业通商部：2015–2025 月度半导体/存储出口（公共数据门户 CSV）</t>
        </is>
      </c>
      <c r="C31" t="inlineStr">
        <is>
          <t>https://www.data.go.kr/data/15051126/fileData.do</t>
        </is>
      </c>
    </row>
    <row r="32">
      <c r="A32" t="n">
        <v>31</v>
      </c>
      <c r="B32" t="inlineStr">
        <is>
          <t>产业通商部：2026 年 1–8 月月度半导体出口</t>
        </is>
      </c>
      <c r="C32" t="inlineStr">
        <is>
          <t>https://www.motir.go.kr/kor/article/ATCL3f49a5a8c/172161/view</t>
        </is>
      </c>
    </row>
    <row r="33">
      <c r="A33" t="n">
        <v>32</v>
      </c>
      <c r="B33" t="inlineStr">
        <is>
          <t>Silicon Analysts：HBM 每 GB 价格汇编（二手汇编，免费部分）</t>
        </is>
      </c>
      <c r="C33" t="inlineStr">
        <is>
          <t>https://siliconanalysts.com/market-data/hbm-pricing</t>
        </is>
      </c>
    </row>
    <row r="34">
      <c r="A34" t="n">
        <v>33</v>
      </c>
      <c r="B34" t="inlineStr">
        <is>
          <t>TrendForce 转富邦/MoneyToday：HBM4 $31–32/GB、HBM3E $17–18/GB</t>
        </is>
      </c>
      <c r="C34" t="inlineStr">
        <is>
          <t>https://www.trendforce.com/news/2026/08/13/news-samsung-sk-hynixs-hbm4-push-puts-hbm-general-memory-pricing-in-the-spotlight-for-2h-earnings/</t>
        </is>
      </c>
    </row>
    <row r="35">
      <c r="A35" t="n">
        <v>34</v>
      </c>
      <c r="B35" t="inlineStr">
        <is>
          <t>Korea Herald 2026-10-07：三星 2027 HBM 价格、HBM3E 约 $1.50/Gb</t>
        </is>
      </c>
      <c r="C35" t="inlineStr">
        <is>
          <t>https://www.koreaherald.com/article/10895833</t>
        </is>
      </c>
    </row>
    <row r="36">
      <c r="A36" t="n">
        <v>35</v>
      </c>
      <c r="B36" t="inlineStr">
        <is>
          <t>首尔经济 2026-10-01：HBM4 $600 → $1,300/颗</t>
        </is>
      </c>
      <c r="C36" t="inlineStr">
        <is>
          <t>https://en.sedaily.com/finance/2026/10/01/hbm-prices-to-more-than-double-next-year-as-shortage</t>
        </is>
      </c>
    </row>
    <row r="37">
      <c r="A37" t="n">
        <v>36</v>
      </c>
      <c r="B37" t="inlineStr">
        <is>
          <t>TrendForce 2026-09-29：2027 HBM 混合 ASP +121%</t>
        </is>
      </c>
      <c r="C37" t="inlineStr">
        <is>
          <t>https://www.trendforce.com/presscenter/news/20260929-13255.html</t>
        </is>
      </c>
    </row>
    <row r="38">
      <c r="A38" t="n">
        <v>37</v>
      </c>
      <c r="B38" t="inlineStr">
        <is>
          <t>TrendForce 2025-05-22：HBM4 溢价预计超 30%；2026 年 HBM 总出货将超过 300 亿 Gb（≈3.75 EB）</t>
        </is>
      </c>
      <c r="C38" t="inlineStr">
        <is>
          <t>https://www.trendforce.com/presscenter/news/20250522-12589.html</t>
        </is>
      </c>
    </row>
    <row r="39">
      <c r="A39" t="n">
        <v>38</v>
      </c>
      <c r="B39" t="inlineStr">
        <is>
          <t>TrendForce 2024-05：HBM 约 DDR5 的 5 倍价</t>
        </is>
      </c>
      <c r="C39" t="inlineStr">
        <is>
          <t>https://www.trendforce.com/presscenter/news/20240506-12125.html</t>
        </is>
      </c>
    </row>
    <row r="40">
      <c r="A40" t="n">
        <v>39</v>
      </c>
      <c r="B40" t="inlineStr">
        <is>
          <t>Applied Materials：HBM 新增 19 道工序、封装设备份额</t>
        </is>
      </c>
      <c r="C40" t="inlineStr">
        <is>
          <t>https://www.appliedmaterials.com/us/en/newsroom/blogs/hbm--materials-innovation-propels-high-bandwidth-memory-into-the.html</t>
        </is>
      </c>
    </row>
    <row r="41">
      <c r="A41" t="n">
        <v>40</v>
      </c>
      <c r="B41" t="inlineStr">
        <is>
          <t>Dealsite：SK 海力士 MR-MUF 材料由 NAMICS 独家供应</t>
        </is>
      </c>
      <c r="C41" t="inlineStr">
        <is>
          <t>https://dealsite.co.kr/articles/119413</t>
        </is>
      </c>
    </row>
    <row r="42">
      <c r="A42" t="n">
        <v>41</v>
      </c>
      <c r="B42" t="inlineStr">
        <is>
          <t>ASMPT 2025 年报公告：先进封装 5.32 亿美元、TCB</t>
        </is>
      </c>
      <c r="C42" t="inlineStr">
        <is>
          <t>https://www.asmpt.com/en/investor-relations/news-events/asmpt-announces-2025-annual-results/</t>
        </is>
      </c>
    </row>
    <row r="43">
      <c r="A43" t="n">
        <v>42</v>
      </c>
      <c r="B43" t="inlineStr">
        <is>
          <t>Wccftech 转 ZDNet Korea：长鑫 HBM3 延后、长电 HBM3E 方案</t>
        </is>
      </c>
      <c r="C43" t="inlineStr">
        <is>
          <t>https://wccftech.com/china-ymtc-hits-hbm3-roadblock-domestic-makers-rush-hbm-manufacturing/</t>
        </is>
      </c>
    </row>
    <row r="44">
      <c r="A44" t="n">
        <v>43</v>
      </c>
      <c r="B44" t="inlineStr">
        <is>
          <t>The Elec 2026-03：HBM 约占 DRAM 产出 15%</t>
        </is>
      </c>
      <c r="C44" t="inlineStr">
        <is>
          <t>https://www.thelec.net/news/articleView.html?idxno=5886</t>
        </is>
      </c>
    </row>
    <row r="45">
      <c r="A45" t="n">
        <v>44</v>
      </c>
      <c r="B45" t="inlineStr">
        <is>
          <t>NVIDIA 与 SK 海力士多年合作（2026-06-07）</t>
        </is>
      </c>
      <c r="C45" t="inlineStr">
        <is>
          <t>https://nvidianews.nvidia.com/news/sk-hynix-ai-factory</t>
        </is>
      </c>
    </row>
    <row r="46">
      <c r="A46" t="n">
        <v>45</v>
      </c>
      <c r="B46" t="inlineStr">
        <is>
          <t>美光：HBM4 为 NVIDIA Vera Rubin 设计并量产（2026-03-16）</t>
        </is>
      </c>
      <c r="C46" t="inlineStr">
        <is>
          <t>https://investors.micron.com/news/press-release/2026/Micron-in-High-Volume-Production-of-HBM4-Designed-for-NVIDIA-Vera-Rubin-PCIe-Gen6-SSD-and-SOCAMM2-03-16-2026/default.aspx</t>
        </is>
      </c>
    </row>
    <row r="47">
      <c r="A47" t="n">
        <v>46</v>
      </c>
      <c r="B47" t="inlineStr">
        <is>
          <t>三星：首家商用 HBM4 出货（未点名客户）</t>
        </is>
      </c>
      <c r="C47" t="inlineStr">
        <is>
          <t>https://news.samsung.com/global/samsung-ships-industry-first-commercial-hbm4-with-ultimate-performance-for-ai-computing</t>
        </is>
      </c>
    </row>
    <row r="48">
      <c r="A48" t="n">
        <v>47</v>
      </c>
      <c r="B48" t="inlineStr">
        <is>
          <t>TSMC 4Q25 法说会：先进封装营收占比（转引原话）</t>
        </is>
      </c>
      <c r="C48" t="inlineStr">
        <is>
          <t>https://www.aipredictionindex.com/p/wei-2026-advanced-packaging-low-teens-2026/</t>
        </is>
      </c>
    </row>
    <row r="49">
      <c r="A49" t="n">
        <v>48</v>
      </c>
      <c r="B49" t="inlineStr">
        <is>
          <t>SK 海力士季度营收/利润（StockAnalysis 汇总财报）</t>
        </is>
      </c>
      <c r="C49" t="inlineStr">
        <is>
          <t>https://stockanalysis.com/quote/krx/000660/financials/?p=quarterly</t>
        </is>
      </c>
    </row>
    <row r="50">
      <c r="A50" t="n">
        <v>49</v>
      </c>
      <c r="B50" t="inlineStr">
        <is>
          <t>美光季度营收/毛利（SEC XBRL API）</t>
        </is>
      </c>
      <c r="C50" t="inlineStr">
        <is>
          <t>https://data.sec.gov/api/xbrl/companyfacts/CIK0000723125.json</t>
        </is>
      </c>
    </row>
    <row r="51">
      <c r="A51" t="n">
        <v>50</v>
      </c>
      <c r="B51" t="inlineStr">
        <is>
          <t>Tushare fina_mainbz：A 股公司 2025 年报主营构成</t>
        </is>
      </c>
      <c r="C51" t="inlineStr">
        <is>
          <t>https://tushare.pro/document/2?doc_id=81</t>
        </is>
      </c>
    </row>
    <row r="52">
      <c r="A52" t="n">
        <v>51</v>
      </c>
      <c r="B52" t="inlineStr">
        <is>
          <t>TrendForce 2025-12：三星、海力士 2026 HBM3E 提价约 20%</t>
        </is>
      </c>
      <c r="C52" t="inlineStr">
        <is>
          <t>https://www.trendforce.com/news/2025/12/24/news-samsung-sk-hynix-reportedly-plan-20-hbm3e-price-hike-for-2026-as-nvidia-h200-asic-demand-rises/</t>
        </is>
      </c>
    </row>
    <row r="53">
      <c r="A53" t="n">
        <v>52</v>
      </c>
      <c r="B53" t="inlineStr">
        <is>
          <t>NVIDIA CFO Commentary Q2 FY2027（SEC）：供应与产能承诺 1,190 亿 → 2,790 亿美元，主要为存储</t>
        </is>
      </c>
      <c r="C53" t="inlineStr">
        <is>
          <t>https://www.sec.gov/Archives/edgar/data/1045810/000104581026000073/q2fy27cfocommentary.htm</t>
        </is>
      </c>
    </row>
    <row r="54">
      <c r="A54" t="n">
        <v>53</v>
      </c>
      <c r="B54" t="inlineStr">
        <is>
          <t>Datacentres.com：四大云厂商 2026 年资本开支指引（引各公司 7 月电话会）</t>
        </is>
      </c>
      <c r="C54" t="inlineStr">
        <is>
          <t>https://www.datacentres.com/guides/hyperscaler-capex-trends</t>
        </is>
      </c>
    </row>
    <row r="55">
      <c r="A55" t="n">
        <v>54</v>
      </c>
      <c r="B55" t="inlineStr">
        <is>
          <t>Midgard Finance：云业务营收、积压订单、资本开支、AWS 资产回报（取自各公司财报）</t>
        </is>
      </c>
      <c r="C55" t="inlineStr">
        <is>
          <t>https://www.midgardfinance.com/research/cloud/</t>
        </is>
      </c>
    </row>
    <row r="56">
      <c r="A56" t="n">
        <v>55</v>
      </c>
      <c r="B56" t="inlineStr">
        <is>
          <t>KGI 2026-09-15：2027 年 HBM 供给 +45–50%、英伟达下调 HBM 规格以最大化出货</t>
        </is>
      </c>
      <c r="C56" t="inlineStr">
        <is>
          <t>https://www.kgi.com.hk/en/-/media/files/kgishk/research-reports/tw-reports/semiconductor-sector-_20260915_en.pdf</t>
        </is>
      </c>
    </row>
    <row r="57">
      <c r="A57" t="n">
        <v>56</v>
      </c>
      <c r="B57" t="inlineStr">
        <is>
          <t>本站 CoWoS 小链（按出货反推 HBM 需求）</t>
        </is>
      </c>
      <c r="C57" t="inlineStr">
        <is>
          <t>https://johnpeng-cn.github.io/chain-site/cowos.html#iface</t>
        </is>
      </c>
    </row>
    <row r="58">
      <c r="A58" t="n">
        <v>57</v>
      </c>
      <c r="B58" t="inlineStr">
        <is>
          <t>电子新闻 ETNews 2025-07-30：韩美半导体 TC 键合机月产能 35 台，2026 年扩到 45 台；HBM3E 12 层用 TC 键合机份额 90% 以上</t>
        </is>
      </c>
      <c r="C58" t="inlineStr">
        <is>
          <t>https://www.etnews.com/20250730000336</t>
        </is>
      </c>
    </row>
    <row r="59">
      <c r="A59" t="n">
        <v>58</v>
      </c>
      <c r="B59" t="inlineStr">
        <is>
          <t>亚洲经济 2024-07-05：韩美半导体年产 264 台（月 22 台）TC 键合机</t>
        </is>
      </c>
      <c r="C59" t="inlineStr">
        <is>
          <t>https://www.asiae.co.kr/en/article/2024070519155971905</t>
        </is>
      </c>
    </row>
    <row r="60">
      <c r="A60" t="n">
        <v>59</v>
      </c>
      <c r="B60" t="inlineStr">
        <is>
          <t>The Elec 2025-03-14：SK 海力士 2025 年计划采购约 80 台 TC 键合机，每条 HBM 线 2 台</t>
        </is>
      </c>
      <c r="C60" t="inlineStr">
        <is>
          <t>https://www.thelec.net/news/articleView.html?idxno=5189</t>
        </is>
      </c>
    </row>
    <row r="61">
      <c r="A61" t="n">
        <v>60</v>
      </c>
      <c r="B61" t="inlineStr">
        <is>
          <t>Tom's Hardware 2026-03-09：T-glass 短缺，日东纺约 90%</t>
        </is>
      </c>
      <c r="C61" t="inlineStr">
        <is>
          <t>https://www.tomshardware.com/tech-industry/shortages-of-crucial-chip-packaging-material-threatens-ai-accelerator-supply-chains-nittobos-fukushima-plant-is-tripling-capacity-but-itll-take-years-before-market</t>
        </is>
      </c>
    </row>
    <row r="62">
      <c r="A62" t="n">
        <v>61</v>
      </c>
      <c r="B62" t="inlineStr">
        <is>
          <t>FinmoConf：台积电 2Q26 法说会纪要（封装限制客户成长、测试机短缺、资本开支）</t>
        </is>
      </c>
      <c r="C62" t="inlineStr">
        <is>
          <t>https://finmoconf.diveinvest.net/en/tsmc/2026-q2</t>
        </is>
      </c>
    </row>
    <row r="63">
      <c r="A63" t="n">
        <v>62</v>
      </c>
      <c r="B63" t="inlineStr">
        <is>
          <t>优分析 2026-09-17：弘塑订单看到 2030 年、交期 10–12 个月</t>
        </is>
      </c>
      <c r="C63" t="inlineStr">
        <is>
          <t>https://uanalyze.com.tw/articles/7953455522</t>
        </is>
      </c>
    </row>
    <row r="64">
      <c r="A64" t="n">
        <v>63</v>
      </c>
      <c r="B64" t="inlineStr">
        <is>
          <t>UBS 2026-10（经그로쓰리서치/여의도뉴스 2026-10-06 转述）：HBM 年末产能（千片/月）海力士 175/230/270、三星 150/170/260、美光 65/100/160，三家合计 390 → 500 → 690（2025–27）</t>
        </is>
      </c>
      <c r="C64" t="inlineStr">
        <is>
          <t>https://yeouidonews.com/go/117844</t>
        </is>
      </c>
    </row>
    <row r="65">
      <c r="A65" t="n">
        <v>64</v>
      </c>
      <c r="B65" t="inlineStr">
        <is>
          <t>首尔经济 2026-07-31：UBS 估海力士 HBM 产能 2026 年底 23 万、2027 年底 27 万片/月（投片口径）；2027 年按位元份额三星 41%、海力士 39%</t>
        </is>
      </c>
      <c r="C65" t="inlineStr">
        <is>
          <t>https://www.sedaily.com/article/20074170</t>
        </is>
      </c>
    </row>
    <row r="66">
      <c r="A66" t="n">
        <v>65</v>
      </c>
      <c r="B66" t="inlineStr">
        <is>
          <t>iM 证券 2026-06-22《月刊半导体 7 月》（宋明燮）：2025 年 HBM 产量 26.3 亿 GB、实际需求 21.7 亿 GB；2026 年产量预计 44.4 亿 GB（海力士 23.8、三星 13.8、美光 6.9）、需求 42.3 亿 GB；三星满产可做 16.3 亿 GB 但偏向普通 DRAM</t>
        </is>
      </c>
      <c r="C66" t="inlineStr">
        <is>
          <t>https://stock.pstatic.net/stock-research/industry/61/20260622_industry_540142000.pdf</t>
        </is>
      </c>
    </row>
    <row r="67">
      <c r="A67" t="n">
        <v>66</v>
      </c>
      <c r="B67" t="inlineStr">
        <is>
          <t>TrendForce 2026-09-29：三星称 HBM 2027 年占业界 DRAM 产能近 30%（现约 20%）；首尔经济称三星 HBM 平均月投片约 18 万 → 2027 年约 25 万</t>
        </is>
      </c>
      <c r="C67" t="inlineStr">
        <is>
          <t>https://www.trendforce.com/news/2026/09/29/news-samsung-sees-hbm-taking-nearly-30-of-industry-dram-capacity-in-2027-up-from-20-currently/</t>
        </is>
      </c>
    </row>
    <row r="68">
      <c r="A68" t="n">
        <v>67</v>
      </c>
      <c r="B68" t="inlineStr">
        <is>
          <t>TrendForce 2026-06-09 报告摘要：2027 年 HBM 合约谈判僵持，供应商要求大幅涨价以对齐普通 DRAM 的晶圆产值</t>
        </is>
      </c>
      <c r="C68" t="inlineStr">
        <is>
          <t>https://www.trendforce.com/research/download/RP260609OD3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单位：百万颗 AI 加速器封装/季；算法见 toc.js / data/toc.json；除 CoWoS、HBM 外各环节规模为估计（含校准）；由 cowos/build.py 生成</t>
        </is>
      </c>
    </row>
    <row r="2">
      <c r="A2" s="1" t="inlineStr">
        <is>
          <t>季度</t>
        </is>
      </c>
      <c r="B2" s="1" t="inlineStr">
        <is>
          <t>需求</t>
        </is>
      </c>
      <c r="C2" s="1" t="inlineStr">
        <is>
          <t>CoWoS</t>
        </is>
      </c>
      <c r="D2" s="1" t="inlineStr">
        <is>
          <t>HBM</t>
        </is>
      </c>
      <c r="E2" s="1" t="inlineStr">
        <is>
          <t>TC键合机</t>
        </is>
      </c>
      <c r="F2" s="1" t="inlineStr">
        <is>
          <t>ABF载板</t>
        </is>
      </c>
      <c r="G2" s="1" t="inlineStr">
        <is>
          <t>电力</t>
        </is>
      </c>
      <c r="H2" s="1" t="inlineStr">
        <is>
          <t>最小环节</t>
        </is>
      </c>
      <c r="I2" s="1" t="inlineStr">
        <is>
          <t>约束</t>
        </is>
      </c>
      <c r="J2" s="1" t="inlineStr">
        <is>
          <t>通过量</t>
        </is>
      </c>
    </row>
    <row r="3">
      <c r="A3" t="inlineStr">
        <is>
          <t>2024Q1</t>
        </is>
      </c>
      <c r="B3" t="n">
        <v>1.917</v>
      </c>
      <c r="C3" t="n">
        <v>1.341</v>
      </c>
      <c r="D3" t="n">
        <v>1.47</v>
      </c>
      <c r="E3" t="n">
        <v>3.274</v>
      </c>
      <c r="F3" t="n">
        <v>2.109</v>
      </c>
      <c r="G3" t="n">
        <v>2.517</v>
      </c>
      <c r="H3" t="inlineStr">
        <is>
          <t>CoWoS</t>
        </is>
      </c>
      <c r="I3" t="inlineStr">
        <is>
          <t>CoWoS</t>
        </is>
      </c>
      <c r="J3" t="n">
        <v>1.341</v>
      </c>
    </row>
    <row r="4">
      <c r="A4" t="inlineStr">
        <is>
          <t>2024Q2</t>
        </is>
      </c>
      <c r="B4" t="n">
        <v>2.091</v>
      </c>
      <c r="C4" t="n">
        <v>1.779</v>
      </c>
      <c r="D4" t="n">
        <v>1.79</v>
      </c>
      <c r="E4" t="n">
        <v>4.097</v>
      </c>
      <c r="F4" t="n">
        <v>2.3</v>
      </c>
      <c r="G4" t="n">
        <v>2.517</v>
      </c>
      <c r="H4" t="inlineStr">
        <is>
          <t>CoWoS</t>
        </is>
      </c>
      <c r="I4" t="inlineStr">
        <is>
          <t>CoWoS</t>
        </is>
      </c>
      <c r="J4" t="n">
        <v>1.779</v>
      </c>
    </row>
    <row r="5">
      <c r="A5" t="inlineStr">
        <is>
          <t>2024Q3</t>
        </is>
      </c>
      <c r="B5" t="n">
        <v>2.266</v>
      </c>
      <c r="C5" t="n">
        <v>2.217</v>
      </c>
      <c r="D5" t="n">
        <v>2.749</v>
      </c>
      <c r="E5" t="n">
        <v>4.92</v>
      </c>
      <c r="F5" t="n">
        <v>2.492</v>
      </c>
      <c r="G5" t="n">
        <v>2.768</v>
      </c>
      <c r="H5" t="inlineStr">
        <is>
          <t>CoWoS</t>
        </is>
      </c>
      <c r="I5" t="inlineStr">
        <is>
          <t>CoWoS</t>
        </is>
      </c>
      <c r="J5" t="n">
        <v>2.217</v>
      </c>
    </row>
    <row r="6">
      <c r="A6" t="inlineStr">
        <is>
          <t>2024Q4</t>
        </is>
      </c>
      <c r="B6" t="n">
        <v>2.44</v>
      </c>
      <c r="C6" t="n">
        <v>2.655</v>
      </c>
      <c r="D6" t="n">
        <v>3.58</v>
      </c>
      <c r="E6" t="n">
        <v>5.743</v>
      </c>
      <c r="F6" t="n">
        <v>2.684</v>
      </c>
      <c r="G6" t="n">
        <v>2.768</v>
      </c>
      <c r="H6" t="inlineStr">
        <is>
          <t>CoWoS</t>
        </is>
      </c>
      <c r="I6" t="inlineStr">
        <is>
          <t>需求（各环节都够）</t>
        </is>
      </c>
      <c r="J6" t="n">
        <v>2.44</v>
      </c>
    </row>
    <row r="7">
      <c r="A7" t="inlineStr">
        <is>
          <t>2025Q1</t>
        </is>
      </c>
      <c r="B7" t="n">
        <v>2.559</v>
      </c>
      <c r="C7" t="n">
        <v>2.331</v>
      </c>
      <c r="D7" t="n">
        <v>3.377</v>
      </c>
      <c r="E7" t="n">
        <v>3.714</v>
      </c>
      <c r="F7" t="n">
        <v>2.687</v>
      </c>
      <c r="G7" t="n">
        <v>3.07</v>
      </c>
      <c r="H7" t="inlineStr">
        <is>
          <t>CoWoS</t>
        </is>
      </c>
      <c r="I7" t="inlineStr">
        <is>
          <t>CoWoS</t>
        </is>
      </c>
      <c r="J7" t="n">
        <v>2.331</v>
      </c>
    </row>
    <row r="8">
      <c r="A8" t="inlineStr">
        <is>
          <t>2025Q2</t>
        </is>
      </c>
      <c r="B8" t="n">
        <v>2.791</v>
      </c>
      <c r="C8" t="n">
        <v>2.961</v>
      </c>
      <c r="D8" t="n">
        <v>3.678</v>
      </c>
      <c r="E8" t="n">
        <v>4.455</v>
      </c>
      <c r="F8" t="n">
        <v>2.931</v>
      </c>
      <c r="G8" t="n">
        <v>3.07</v>
      </c>
      <c r="H8" t="inlineStr">
        <is>
          <t>ABF 载板</t>
        </is>
      </c>
      <c r="I8" t="inlineStr">
        <is>
          <t>需求（各环节都够）</t>
        </is>
      </c>
      <c r="J8" t="n">
        <v>2.791</v>
      </c>
    </row>
    <row r="9">
      <c r="A9" t="inlineStr">
        <is>
          <t>2025Q3</t>
        </is>
      </c>
      <c r="B9" t="n">
        <v>3.024</v>
      </c>
      <c r="C9" t="n">
        <v>3.591</v>
      </c>
      <c r="D9" t="n">
        <v>3.978</v>
      </c>
      <c r="E9" t="n">
        <v>5.196</v>
      </c>
      <c r="F9" t="n">
        <v>3.175</v>
      </c>
      <c r="G9" t="n">
        <v>3.93</v>
      </c>
      <c r="H9" t="inlineStr">
        <is>
          <t>ABF 载板</t>
        </is>
      </c>
      <c r="I9" t="inlineStr">
        <is>
          <t>需求（各环节都够）</t>
        </is>
      </c>
      <c r="J9" t="n">
        <v>3.024</v>
      </c>
    </row>
    <row r="10">
      <c r="A10" t="inlineStr">
        <is>
          <t>2025Q4</t>
        </is>
      </c>
      <c r="B10" t="n">
        <v>3.256</v>
      </c>
      <c r="C10" t="n">
        <v>4.221</v>
      </c>
      <c r="D10" t="n">
        <v>4.281</v>
      </c>
      <c r="E10" t="n">
        <v>5.937</v>
      </c>
      <c r="F10" t="n">
        <v>3.419</v>
      </c>
      <c r="G10" t="n">
        <v>3.93</v>
      </c>
      <c r="H10" t="inlineStr">
        <is>
          <t>ABF 载板</t>
        </is>
      </c>
      <c r="I10" t="inlineStr">
        <is>
          <t>需求（各环节都够）</t>
        </is>
      </c>
      <c r="J10" t="n">
        <v>3.256</v>
      </c>
    </row>
    <row r="11">
      <c r="A11" t="inlineStr">
        <is>
          <t>2026Q1</t>
        </is>
      </c>
      <c r="B11" t="n">
        <v>4.349</v>
      </c>
      <c r="C11" t="n">
        <v>4.457</v>
      </c>
      <c r="D11" t="n">
        <v>5.141</v>
      </c>
      <c r="E11" t="n">
        <v>7.275</v>
      </c>
      <c r="F11" t="n">
        <v>4.48</v>
      </c>
      <c r="G11" t="n">
        <v>6.755</v>
      </c>
      <c r="H11" t="inlineStr">
        <is>
          <t>CoWoS</t>
        </is>
      </c>
      <c r="I11" t="inlineStr">
        <is>
          <t>需求（各环节都够）</t>
        </is>
      </c>
      <c r="J11" t="n">
        <v>4.349</v>
      </c>
    </row>
    <row r="12">
      <c r="A12" t="inlineStr">
        <is>
          <t>2026Q2</t>
        </is>
      </c>
      <c r="B12" t="n">
        <v>4.745</v>
      </c>
      <c r="C12" t="n">
        <v>5.211</v>
      </c>
      <c r="D12" t="n">
        <v>5.506</v>
      </c>
      <c r="E12" t="n">
        <v>8.313000000000001</v>
      </c>
      <c r="F12" t="n">
        <v>4.887</v>
      </c>
      <c r="G12" t="n">
        <v>6.755</v>
      </c>
      <c r="H12" t="inlineStr">
        <is>
          <t>ABF 载板</t>
        </is>
      </c>
      <c r="I12" t="inlineStr">
        <is>
          <t>需求（各环节都够）</t>
        </is>
      </c>
      <c r="J12" t="n">
        <v>4.745</v>
      </c>
    </row>
    <row r="13">
      <c r="A13" t="inlineStr">
        <is>
          <t>2026Q3</t>
        </is>
      </c>
      <c r="B13" t="n">
        <v>5.14</v>
      </c>
      <c r="C13" t="n">
        <v>5.964</v>
      </c>
      <c r="D13" t="n">
        <v>5.872</v>
      </c>
      <c r="E13" t="n">
        <v>9.35</v>
      </c>
      <c r="F13" t="n">
        <v>5.294</v>
      </c>
      <c r="G13" t="n">
        <v>7.025</v>
      </c>
      <c r="H13" t="inlineStr">
        <is>
          <t>ABF 载板</t>
        </is>
      </c>
      <c r="I13" t="inlineStr">
        <is>
          <t>需求（各环节都够）</t>
        </is>
      </c>
      <c r="J13" t="n">
        <v>5.14</v>
      </c>
    </row>
    <row r="14">
      <c r="A14" t="inlineStr">
        <is>
          <t>2026Q4</t>
        </is>
      </c>
      <c r="B14" t="n">
        <v>5.535</v>
      </c>
      <c r="C14" t="n">
        <v>6.718</v>
      </c>
      <c r="D14" t="n">
        <v>6.241</v>
      </c>
      <c r="E14" t="n">
        <v>10.388</v>
      </c>
      <c r="F14" t="n">
        <v>5.701</v>
      </c>
      <c r="G14" t="n">
        <v>7.025</v>
      </c>
      <c r="H14" t="inlineStr">
        <is>
          <t>ABF 载板</t>
        </is>
      </c>
      <c r="I14" t="inlineStr">
        <is>
          <t>需求（各环节都够）</t>
        </is>
      </c>
      <c r="J14" t="n">
        <v>5.535</v>
      </c>
    </row>
    <row r="15">
      <c r="A15" t="inlineStr">
        <is>
          <t>2027Q1</t>
        </is>
      </c>
      <c r="B15" t="n">
        <v>8.029999999999999</v>
      </c>
      <c r="C15" t="n">
        <v>7.346</v>
      </c>
      <c r="D15" t="n">
        <v>7.428</v>
      </c>
      <c r="E15" t="n">
        <v>13.083</v>
      </c>
      <c r="F15" t="n">
        <v>5.712</v>
      </c>
      <c r="G15" t="n">
        <v>10.126</v>
      </c>
      <c r="H15" t="inlineStr">
        <is>
          <t>ABF 载板</t>
        </is>
      </c>
      <c r="I15" t="inlineStr">
        <is>
          <t>ABF 载板</t>
        </is>
      </c>
      <c r="J15" t="n">
        <v>5.712</v>
      </c>
    </row>
    <row r="16">
      <c r="A16" t="inlineStr">
        <is>
          <t>2027Q2</t>
        </is>
      </c>
      <c r="B16" t="n">
        <v>8.76</v>
      </c>
      <c r="C16" t="n">
        <v>8.544</v>
      </c>
      <c r="D16" t="n">
        <v>8.105</v>
      </c>
      <c r="E16" t="n">
        <v>14.271</v>
      </c>
      <c r="F16" t="n">
        <v>6.231</v>
      </c>
      <c r="G16" t="n">
        <v>10.126</v>
      </c>
      <c r="H16" t="inlineStr">
        <is>
          <t>ABF 载板</t>
        </is>
      </c>
      <c r="I16" t="inlineStr">
        <is>
          <t>ABF 载板</t>
        </is>
      </c>
      <c r="J16" t="n">
        <v>6.231</v>
      </c>
    </row>
    <row r="17">
      <c r="A17" t="inlineStr">
        <is>
          <t>2027Q3</t>
        </is>
      </c>
      <c r="B17" t="n">
        <v>9.49</v>
      </c>
      <c r="C17" t="n">
        <v>9.742000000000001</v>
      </c>
      <c r="D17" t="n">
        <v>8.782999999999999</v>
      </c>
      <c r="E17" t="n">
        <v>15.459</v>
      </c>
      <c r="F17" t="n">
        <v>6.75</v>
      </c>
      <c r="G17" t="n">
        <v>10.126</v>
      </c>
      <c r="H17" t="inlineStr">
        <is>
          <t>ABF 载板</t>
        </is>
      </c>
      <c r="I17" t="inlineStr">
        <is>
          <t>ABF 载板</t>
        </is>
      </c>
      <c r="J17" t="n">
        <v>6.75</v>
      </c>
    </row>
    <row r="18">
      <c r="A18" t="inlineStr">
        <is>
          <t>2027Q4</t>
        </is>
      </c>
      <c r="B18" t="n">
        <v>10.22</v>
      </c>
      <c r="C18" t="n">
        <v>10.932</v>
      </c>
      <c r="D18" t="n">
        <v>9.462</v>
      </c>
      <c r="E18" t="n">
        <v>16.647</v>
      </c>
      <c r="F18" t="n">
        <v>7.269</v>
      </c>
      <c r="G18" t="n">
        <v>10.126</v>
      </c>
      <c r="H18" t="inlineStr">
        <is>
          <t>ABF 载板</t>
        </is>
      </c>
      <c r="I18" t="inlineStr">
        <is>
          <t>ABF 载板</t>
        </is>
      </c>
      <c r="J18" t="n">
        <v>7.269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2026-10-15T03:38:20Z</dcterms:created>
  <dcterms:modified xmlns:dcterms="http://purl.org/dc/terms/" xmlns:xsi="http://www.w3.org/2001/XMLSchema-instance" xsi:type="dcterms:W3CDTF">2026-10-15T03:38:20Z</dcterms:modified>
</cp:coreProperties>
</file>