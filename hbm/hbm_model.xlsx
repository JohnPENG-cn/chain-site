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需求" sheetId="2" state="visible" r:id="rId2"/>
    <sheet xmlns:r="http://schemas.openxmlformats.org/officeDocument/2006/relationships" name="供给" sheetId="3" state="visible" r:id="rId3"/>
    <sheet xmlns:r="http://schemas.openxmlformats.org/officeDocument/2006/relationships" name="季度产能" sheetId="4" state="visible" r:id="rId4"/>
    <sheet xmlns:r="http://schemas.openxmlformats.org/officeDocument/2006/relationships" name="平衡表" sheetId="5" state="visible" r:id="rId5"/>
    <sheet xmlns:r="http://schemas.openxmlformats.org/officeDocument/2006/relationships" name="校准" sheetId="6" state="visible" r:id="rId6"/>
    <sheet xmlns:r="http://schemas.openxmlformats.org/officeDocument/2006/relationships" name="中国账本" sheetId="7" state="visible" r:id="rId7"/>
    <sheet xmlns:r="http://schemas.openxmlformats.org/officeDocument/2006/relationships" name="来源" sheetId="8" state="visible" r:id="rId8"/>
    <sheet xmlns:r="http://schemas.openxmlformats.org/officeDocument/2006/relationships" name="TOC约束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HBM 供需模型 v0.4（2026-10-15，由 hbm/build.py 生成，勿手改）</t>
        </is>
      </c>
    </row>
    <row r="2">
      <c r="A2" t="inlineStr">
        <is>
          <t>黄色格=可改假设；其余为公式。1 EB = 10 亿 GB。</t>
        </is>
      </c>
    </row>
    <row r="3">
      <c r="A3" t="inlineStr">
        <is>
          <t>需求 = 出货（百万颗）× 每封装 HBM（GB），与 CoWoS 页共用 KGI 出货表</t>
        </is>
      </c>
    </row>
    <row r="4">
      <c r="A4" t="inlineStr">
        <is>
          <t>供给 = 年均月投片（千片）× 12 × 每片有效 GB × 稼动率</t>
        </is>
      </c>
    </row>
    <row r="5">
      <c r="A5" t="inlineStr">
        <is>
          <t>每片有效 GB 不是原厂披露值，而是用券商汇总的产量反推：2025 年 iM 证券称业界产量 26.3 亿 GB、2026 年预计 44.4 亿 GB [源65]；用 UBS 年末产能 [源63]插值得到的年均投片去除，得到 2025 年约 750、2026 年约 880 GB/片（稼动率 85%/90%，估）。2027 年 HBM4/4E die 更大、16 层良率更低 [源1]，先按与 2026 年持平处理。旧版 600/650/600 是"让 2026 年供需接近平衡"倒推的，加上产能锚点偏低，2026 年供给少算了约三分之一（2.9 对 4.4 EB）。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厂商</t>
        </is>
      </c>
      <c r="C1" s="1" t="inlineStr">
        <is>
          <t>芯片</t>
        </is>
      </c>
      <c r="D1" s="1" t="inlineStr">
        <is>
          <t>出货(百万)</t>
        </is>
      </c>
      <c r="E1" s="1" t="inlineStr">
        <is>
          <t>每封装HBM(GB)</t>
        </is>
      </c>
      <c r="F1" s="1" t="inlineStr">
        <is>
          <t>需求(PB)</t>
        </is>
      </c>
      <c r="G1" s="1" t="inlineStr">
        <is>
          <t>来源</t>
        </is>
      </c>
    </row>
    <row r="2">
      <c r="A2" t="n">
        <v>2023</v>
      </c>
      <c r="B2" t="inlineStr">
        <is>
          <t>英伟达</t>
        </is>
      </c>
      <c r="C2" t="inlineStr">
        <is>
          <t>英伟达 A100</t>
        </is>
      </c>
      <c r="D2" s="2" t="n">
        <v>1.45</v>
      </c>
      <c r="E2" s="2" t="n">
        <v>80</v>
      </c>
      <c r="F2">
        <f>D2*E2</f>
        <v/>
      </c>
      <c r="G2" t="inlineStr">
        <is>
          <t>KGI Fig.10（经 CoWoS 页）</t>
        </is>
      </c>
    </row>
    <row r="3">
      <c r="A3" t="n">
        <v>2023</v>
      </c>
      <c r="B3" t="inlineStr">
        <is>
          <t>AMD</t>
        </is>
      </c>
      <c r="C3" t="inlineStr">
        <is>
          <t>AMD MI250/MI300</t>
        </is>
      </c>
      <c r="D3" s="2" t="n">
        <v>0.168</v>
      </c>
      <c r="E3" s="2" t="n">
        <v>128</v>
      </c>
      <c r="F3">
        <f>D3*E3</f>
        <v/>
      </c>
      <c r="G3" t="inlineStr">
        <is>
          <t>KGI Fig.10（经 CoWoS 页）</t>
        </is>
      </c>
    </row>
    <row r="4">
      <c r="A4" t="n">
        <v>2023</v>
      </c>
      <c r="B4" t="inlineStr">
        <is>
          <t>其他/中国</t>
        </is>
      </c>
      <c r="C4" t="inlineStr">
        <is>
          <t>其他GPU Gaudi等</t>
        </is>
      </c>
      <c r="D4" s="2" t="n">
        <v>0.027</v>
      </c>
      <c r="E4" s="2" t="n">
        <v>96</v>
      </c>
      <c r="F4">
        <f>D4*E4</f>
        <v/>
      </c>
      <c r="G4" t="inlineStr">
        <is>
          <t>KGI Fig.10（经 CoWoS 页）</t>
        </is>
      </c>
    </row>
    <row r="5">
      <c r="A5" t="n">
        <v>2023</v>
      </c>
      <c r="B5" t="inlineStr">
        <is>
          <t>谷歌TPU</t>
        </is>
      </c>
      <c r="C5" t="inlineStr">
        <is>
          <t>谷歌TPU TPU v4/v5</t>
        </is>
      </c>
      <c r="D5" s="2" t="n">
        <v>1.464</v>
      </c>
      <c r="E5" s="2" t="n">
        <v>32</v>
      </c>
      <c r="F5">
        <f>D5*E5</f>
        <v/>
      </c>
      <c r="G5" t="inlineStr">
        <is>
          <t>KGI Fig.10（经 CoWoS 页）</t>
        </is>
      </c>
    </row>
    <row r="6">
      <c r="A6" t="n">
        <v>2023</v>
      </c>
      <c r="B6" t="inlineStr">
        <is>
          <t>AWS</t>
        </is>
      </c>
      <c r="C6" t="inlineStr">
        <is>
          <t>AWS Trainium1/Inferentia2</t>
        </is>
      </c>
      <c r="D6" s="2" t="n">
        <v>0.495</v>
      </c>
      <c r="E6" s="2" t="n">
        <v>32</v>
      </c>
      <c r="F6">
        <f>D6*E6</f>
        <v/>
      </c>
      <c r="G6" t="inlineStr">
        <is>
          <t>KGI Fig.10（经 CoWoS 页）</t>
        </is>
      </c>
    </row>
    <row r="7">
      <c r="A7" t="n">
        <v>2023</v>
      </c>
      <c r="B7" t="inlineStr">
        <is>
          <t>其他/中国</t>
        </is>
      </c>
      <c r="C7" t="inlineStr">
        <is>
          <t>其他ASIC 其他</t>
        </is>
      </c>
      <c r="D7" s="2" t="n">
        <v>0.3</v>
      </c>
      <c r="E7" s="2" t="n">
        <v>32</v>
      </c>
      <c r="F7">
        <f>D7*E7</f>
        <v/>
      </c>
      <c r="G7" t="inlineStr">
        <is>
          <t>KGI Fig.10（经 CoWoS 页）</t>
        </is>
      </c>
    </row>
    <row r="8">
      <c r="A8" t="n">
        <v>2024</v>
      </c>
      <c r="B8" t="inlineStr">
        <is>
          <t>英伟达</t>
        </is>
      </c>
      <c r="C8" t="inlineStr">
        <is>
          <t>英伟达 A100</t>
        </is>
      </c>
      <c r="D8" s="2" t="n">
        <v>0.08799999999999999</v>
      </c>
      <c r="E8" s="2" t="n">
        <v>80</v>
      </c>
      <c r="F8">
        <f>D8*E8</f>
        <v/>
      </c>
      <c r="G8" t="inlineStr">
        <is>
          <t>KGI Fig.10（经 CoWoS 页）</t>
        </is>
      </c>
    </row>
    <row r="9">
      <c r="A9" t="n">
        <v>2024</v>
      </c>
      <c r="B9" t="inlineStr">
        <is>
          <t>英伟达</t>
        </is>
      </c>
      <c r="C9" t="inlineStr">
        <is>
          <t>英伟达 H100/H200</t>
        </is>
      </c>
      <c r="D9" s="2" t="n">
        <v>3.218</v>
      </c>
      <c r="E9" s="2" t="n">
        <v>90</v>
      </c>
      <c r="F9">
        <f>D9*E9</f>
        <v/>
      </c>
      <c r="G9" t="inlineStr">
        <is>
          <t>KGI Fig.10（经 CoWoS 页）</t>
        </is>
      </c>
    </row>
    <row r="10">
      <c r="A10" t="n">
        <v>2024</v>
      </c>
      <c r="B10" t="inlineStr">
        <is>
          <t>英伟达</t>
        </is>
      </c>
      <c r="C10" t="inlineStr">
        <is>
          <t>英伟达 B200</t>
        </is>
      </c>
      <c r="D10" s="2" t="n">
        <v>0.532</v>
      </c>
      <c r="E10" s="2" t="n">
        <v>192</v>
      </c>
      <c r="F10">
        <f>D10*E10</f>
        <v/>
      </c>
      <c r="G10" t="inlineStr">
        <is>
          <t>KGI Fig.10（经 CoWoS 页）</t>
        </is>
      </c>
    </row>
    <row r="11">
      <c r="A11" t="n">
        <v>2024</v>
      </c>
      <c r="B11" t="inlineStr">
        <is>
          <t>AMD</t>
        </is>
      </c>
      <c r="C11" t="inlineStr">
        <is>
          <t>AMD MI300X</t>
        </is>
      </c>
      <c r="D11" s="2" t="n">
        <v>0.49</v>
      </c>
      <c r="E11" s="2" t="n">
        <v>192</v>
      </c>
      <c r="F11">
        <f>D11*E11</f>
        <v/>
      </c>
      <c r="G11" t="inlineStr">
        <is>
          <t>KGI Fig.10（经 CoWoS 页）</t>
        </is>
      </c>
    </row>
    <row r="12">
      <c r="A12" t="n">
        <v>2024</v>
      </c>
      <c r="B12" t="inlineStr">
        <is>
          <t>其他/中国</t>
        </is>
      </c>
      <c r="C12" t="inlineStr">
        <is>
          <t>其他GPU Gaudi/其他</t>
        </is>
      </c>
      <c r="D12" s="2" t="n">
        <v>0.402</v>
      </c>
      <c r="E12" s="2" t="n">
        <v>96</v>
      </c>
      <c r="F12">
        <f>D12*E12</f>
        <v/>
      </c>
      <c r="G12" t="inlineStr">
        <is>
          <t>KGI Fig.10（经 CoWoS 页）</t>
        </is>
      </c>
    </row>
    <row r="13">
      <c r="A13" t="n">
        <v>2024</v>
      </c>
      <c r="B13" t="inlineStr">
        <is>
          <t>谷歌TPU</t>
        </is>
      </c>
      <c r="C13" t="inlineStr">
        <is>
          <t>谷歌TPU TPU v5/v6</t>
        </is>
      </c>
      <c r="D13" s="2" t="n">
        <v>2.099</v>
      </c>
      <c r="E13" s="2" t="n">
        <v>40</v>
      </c>
      <c r="F13">
        <f>D13*E13</f>
        <v/>
      </c>
      <c r="G13" t="inlineStr">
        <is>
          <t>KGI Fig.10（经 CoWoS 页）</t>
        </is>
      </c>
    </row>
    <row r="14">
      <c r="A14" t="n">
        <v>2024</v>
      </c>
      <c r="B14" t="inlineStr">
        <is>
          <t>AWS</t>
        </is>
      </c>
      <c r="C14" t="inlineStr">
        <is>
          <t>AWS Trainium</t>
        </is>
      </c>
      <c r="D14" s="2" t="n">
        <v>1.225</v>
      </c>
      <c r="E14" s="2" t="n">
        <v>64</v>
      </c>
      <c r="F14">
        <f>D14*E14</f>
        <v/>
      </c>
      <c r="G14" t="inlineStr">
        <is>
          <t>KGI Fig.10（经 CoWoS 页）</t>
        </is>
      </c>
    </row>
    <row r="15">
      <c r="A15" t="n">
        <v>2024</v>
      </c>
      <c r="B15" t="inlineStr">
        <is>
          <t>其他/中国</t>
        </is>
      </c>
      <c r="C15" t="inlineStr">
        <is>
          <t>其他ASIC MTIA/Maia/其他</t>
        </is>
      </c>
      <c r="D15" s="2" t="n">
        <v>0.66</v>
      </c>
      <c r="E15" s="2" t="n">
        <v>64</v>
      </c>
      <c r="F15">
        <f>D15*E15</f>
        <v/>
      </c>
      <c r="G15" t="inlineStr">
        <is>
          <t>KGI Fig.10（经 CoWoS 页）</t>
        </is>
      </c>
    </row>
    <row r="16">
      <c r="A16" t="n">
        <v>2025</v>
      </c>
      <c r="B16" t="inlineStr">
        <is>
          <t>英伟达</t>
        </is>
      </c>
      <c r="C16" t="inlineStr">
        <is>
          <t>英伟达 H100/H200/H20</t>
        </is>
      </c>
      <c r="D16" s="2" t="n">
        <v>0.522</v>
      </c>
      <c r="E16" s="2" t="n">
        <v>110</v>
      </c>
      <c r="F16">
        <f>D16*E16</f>
        <v/>
      </c>
      <c r="G16" t="inlineStr">
        <is>
          <t>KGI Fig.10（经 CoWoS 页）</t>
        </is>
      </c>
    </row>
    <row r="17">
      <c r="A17" t="n">
        <v>2025</v>
      </c>
      <c r="B17" t="inlineStr">
        <is>
          <t>英伟达</t>
        </is>
      </c>
      <c r="C17" t="inlineStr">
        <is>
          <t>英伟达 B200</t>
        </is>
      </c>
      <c r="D17" s="2" t="n">
        <v>2.873</v>
      </c>
      <c r="E17" s="2" t="n">
        <v>192</v>
      </c>
      <c r="F17">
        <f>D17*E17</f>
        <v/>
      </c>
      <c r="G17" t="inlineStr">
        <is>
          <t>KGI Fig.10（经 CoWoS 页）</t>
        </is>
      </c>
    </row>
    <row r="18">
      <c r="A18" t="n">
        <v>2025</v>
      </c>
      <c r="B18" t="inlineStr">
        <is>
          <t>英伟达</t>
        </is>
      </c>
      <c r="C18" t="inlineStr">
        <is>
          <t>英伟达 B300</t>
        </is>
      </c>
      <c r="D18" s="2" t="n">
        <v>1.915</v>
      </c>
      <c r="E18" s="2" t="n">
        <v>288</v>
      </c>
      <c r="F18">
        <f>D18*E18</f>
        <v/>
      </c>
      <c r="G18" t="inlineStr">
        <is>
          <t>KGI Fig.10（经 CoWoS 页）</t>
        </is>
      </c>
    </row>
    <row r="19">
      <c r="A19" t="n">
        <v>2025</v>
      </c>
      <c r="B19" t="inlineStr">
        <is>
          <t>AMD</t>
        </is>
      </c>
      <c r="C19" t="inlineStr">
        <is>
          <t>AMD MI325/MI355</t>
        </is>
      </c>
      <c r="D19" s="2" t="n">
        <v>0.927</v>
      </c>
      <c r="E19" s="2" t="n">
        <v>288</v>
      </c>
      <c r="F19">
        <f>D19*E19</f>
        <v/>
      </c>
      <c r="G19" t="inlineStr">
        <is>
          <t>KGI Fig.10（经 CoWoS 页）</t>
        </is>
      </c>
    </row>
    <row r="20">
      <c r="A20" t="n">
        <v>2025</v>
      </c>
      <c r="B20" t="inlineStr">
        <is>
          <t>其他/中国</t>
        </is>
      </c>
      <c r="C20" t="inlineStr">
        <is>
          <t>其他GPU 其他</t>
        </is>
      </c>
      <c r="D20" s="2" t="n">
        <v>0.516</v>
      </c>
      <c r="E20" s="2" t="n">
        <v>96</v>
      </c>
      <c r="F20">
        <f>D20*E20</f>
        <v/>
      </c>
      <c r="G20" t="inlineStr">
        <is>
          <t>KGI Fig.10（经 CoWoS 页）</t>
        </is>
      </c>
    </row>
    <row r="21">
      <c r="A21" t="n">
        <v>2025</v>
      </c>
      <c r="B21" t="inlineStr">
        <is>
          <t>谷歌TPU</t>
        </is>
      </c>
      <c r="C21" t="inlineStr">
        <is>
          <t>谷歌TPU Trillium/Ironwood</t>
        </is>
      </c>
      <c r="D21" s="2" t="n">
        <v>2.527</v>
      </c>
      <c r="E21" s="2" t="n">
        <v>128</v>
      </c>
      <c r="F21">
        <f>D21*E21</f>
        <v/>
      </c>
      <c r="G21" t="inlineStr">
        <is>
          <t>KGI Fig.10（经 CoWoS 页）</t>
        </is>
      </c>
    </row>
    <row r="22">
      <c r="A22" t="n">
        <v>2025</v>
      </c>
      <c r="B22" t="inlineStr">
        <is>
          <t>AWS</t>
        </is>
      </c>
      <c r="C22" t="inlineStr">
        <is>
          <t>AWS Trainium2</t>
        </is>
      </c>
      <c r="D22" s="2" t="n">
        <v>1.6</v>
      </c>
      <c r="E22" s="2" t="n">
        <v>96</v>
      </c>
      <c r="F22">
        <f>D22*E22</f>
        <v/>
      </c>
      <c r="G22" t="inlineStr">
        <is>
          <t>KGI Fig.10（经 CoWoS 页）</t>
        </is>
      </c>
    </row>
    <row r="23">
      <c r="A23" t="n">
        <v>2025</v>
      </c>
      <c r="B23" t="inlineStr">
        <is>
          <t>其他/中国</t>
        </is>
      </c>
      <c r="C23" t="inlineStr">
        <is>
          <t>其他ASIC MTIA/Maia/其他</t>
        </is>
      </c>
      <c r="D23" s="2" t="n">
        <v>0.75</v>
      </c>
      <c r="E23" s="2" t="n">
        <v>96</v>
      </c>
      <c r="F23">
        <f>D23*E23</f>
        <v/>
      </c>
      <c r="G23" t="inlineStr">
        <is>
          <t>KGI Fig.10（经 CoWoS 页）</t>
        </is>
      </c>
    </row>
    <row r="24">
      <c r="A24" t="n">
        <v>2026</v>
      </c>
      <c r="B24" t="inlineStr">
        <is>
          <t>英伟达</t>
        </is>
      </c>
      <c r="C24" t="inlineStr">
        <is>
          <t>英伟达 H100/H200/H20</t>
        </is>
      </c>
      <c r="D24" s="2" t="n">
        <v>0.9429999999999999</v>
      </c>
      <c r="E24" s="2" t="n">
        <v>120</v>
      </c>
      <c r="F24">
        <f>D24*E24</f>
        <v/>
      </c>
      <c r="G24" t="inlineStr">
        <is>
          <t>KGI Fig.10（经 CoWoS 页）</t>
        </is>
      </c>
    </row>
    <row r="25">
      <c r="A25" t="n">
        <v>2026</v>
      </c>
      <c r="B25" t="inlineStr">
        <is>
          <t>英伟达</t>
        </is>
      </c>
      <c r="C25" t="inlineStr">
        <is>
          <t>英伟达 B200</t>
        </is>
      </c>
      <c r="D25" s="2" t="n">
        <v>1.128</v>
      </c>
      <c r="E25" s="2" t="n">
        <v>192</v>
      </c>
      <c r="F25">
        <f>D25*E25</f>
        <v/>
      </c>
      <c r="G25" t="inlineStr">
        <is>
          <t>KGI Fig.10（经 CoWoS 页）</t>
        </is>
      </c>
    </row>
    <row r="26">
      <c r="A26" t="n">
        <v>2026</v>
      </c>
      <c r="B26" t="inlineStr">
        <is>
          <t>英伟达</t>
        </is>
      </c>
      <c r="C26" t="inlineStr">
        <is>
          <t>英伟达 B300</t>
        </is>
      </c>
      <c r="D26" s="2" t="n">
        <v>4.514</v>
      </c>
      <c r="E26" s="2" t="n">
        <v>288</v>
      </c>
      <c r="F26">
        <f>D26*E26</f>
        <v/>
      </c>
      <c r="G26" t="inlineStr">
        <is>
          <t>KGI Fig.10（经 CoWoS 页）</t>
        </is>
      </c>
    </row>
    <row r="27">
      <c r="A27" t="n">
        <v>2026</v>
      </c>
      <c r="B27" t="inlineStr">
        <is>
          <t>英伟达</t>
        </is>
      </c>
      <c r="C27" t="inlineStr">
        <is>
          <t>英伟达 Rubin</t>
        </is>
      </c>
      <c r="D27" s="2" t="n">
        <v>1.95</v>
      </c>
      <c r="E27" s="2" t="n">
        <v>288</v>
      </c>
      <c r="F27">
        <f>D27*E27</f>
        <v/>
      </c>
      <c r="G27" t="inlineStr">
        <is>
          <t>KGI Fig.10（经 CoWoS 页）</t>
        </is>
      </c>
    </row>
    <row r="28">
      <c r="A28" t="n">
        <v>2026</v>
      </c>
      <c r="B28" t="inlineStr">
        <is>
          <t>英伟达</t>
        </is>
      </c>
      <c r="C28" t="inlineStr">
        <is>
          <t>英伟达 Vera CPU</t>
        </is>
      </c>
      <c r="D28" s="2" t="n">
        <v>2</v>
      </c>
      <c r="E28" s="2" t="n">
        <v>0</v>
      </c>
      <c r="F28">
        <f>D28*E28</f>
        <v/>
      </c>
      <c r="G28" t="inlineStr">
        <is>
          <t>KGI 正文（经 CoWoS 页）</t>
        </is>
      </c>
    </row>
    <row r="29">
      <c r="A29" t="n">
        <v>2026</v>
      </c>
      <c r="B29" t="inlineStr">
        <is>
          <t>AMD</t>
        </is>
      </c>
      <c r="C29" t="inlineStr">
        <is>
          <t>AMD MI355/MI450</t>
        </is>
      </c>
      <c r="D29" s="2" t="n">
        <v>1.152</v>
      </c>
      <c r="E29" s="2" t="n">
        <v>320</v>
      </c>
      <c r="F29">
        <f>D29*E29</f>
        <v/>
      </c>
      <c r="G29" t="inlineStr">
        <is>
          <t>KGI Fig.10（经 CoWoS 页）</t>
        </is>
      </c>
    </row>
    <row r="30">
      <c r="A30" t="n">
        <v>2026</v>
      </c>
      <c r="B30" t="inlineStr">
        <is>
          <t>其他/中国</t>
        </is>
      </c>
      <c r="C30" t="inlineStr">
        <is>
          <t>其他GPU 其他</t>
        </is>
      </c>
      <c r="D30" s="2" t="n">
        <v>0.55</v>
      </c>
      <c r="E30" s="2" t="n">
        <v>96</v>
      </c>
      <c r="F30">
        <f>D30*E30</f>
        <v/>
      </c>
      <c r="G30" t="inlineStr">
        <is>
          <t>KGI Fig.10（经 CoWoS 页）</t>
        </is>
      </c>
    </row>
    <row r="31">
      <c r="A31" t="n">
        <v>2026</v>
      </c>
      <c r="B31" t="inlineStr">
        <is>
          <t>谷歌TPU</t>
        </is>
      </c>
      <c r="C31" t="inlineStr">
        <is>
          <t>谷歌TPU Ironwood(v7)</t>
        </is>
      </c>
      <c r="D31" s="2" t="n">
        <v>4.02</v>
      </c>
      <c r="E31" s="2" t="n">
        <v>192</v>
      </c>
      <c r="F31">
        <f>D31*E31</f>
        <v/>
      </c>
      <c r="G31" t="inlineStr">
        <is>
          <t>KGI Fig.10（经 CoWoS 页）</t>
        </is>
      </c>
    </row>
    <row r="32">
      <c r="A32" t="n">
        <v>2026</v>
      </c>
      <c r="B32" t="inlineStr">
        <is>
          <t>AWS</t>
        </is>
      </c>
      <c r="C32" t="inlineStr">
        <is>
          <t>AWS Trainium2/3</t>
        </is>
      </c>
      <c r="D32" s="2" t="n">
        <v>2.428</v>
      </c>
      <c r="E32" s="2" t="n">
        <v>120</v>
      </c>
      <c r="F32">
        <f>D32*E32</f>
        <v/>
      </c>
      <c r="G32" t="inlineStr">
        <is>
          <t>KGI Fig.10（经 CoWoS 页）</t>
        </is>
      </c>
    </row>
    <row r="33">
      <c r="A33" t="n">
        <v>2026</v>
      </c>
      <c r="B33" t="inlineStr">
        <is>
          <t>其他/中国</t>
        </is>
      </c>
      <c r="C33" t="inlineStr">
        <is>
          <t>其他ASIC MTIA/Maia/OpenAI/其他</t>
        </is>
      </c>
      <c r="D33" s="2" t="n">
        <v>1.084</v>
      </c>
      <c r="E33" s="2" t="n">
        <v>150</v>
      </c>
      <c r="F33">
        <f>D33*E33</f>
        <v/>
      </c>
      <c r="G33" t="inlineStr">
        <is>
          <t>KGI Fig.10（经 CoWoS 页）</t>
        </is>
      </c>
    </row>
    <row r="34">
      <c r="A34" t="n">
        <v>2027</v>
      </c>
      <c r="B34" t="inlineStr">
        <is>
          <t>英伟达</t>
        </is>
      </c>
      <c r="C34" t="inlineStr">
        <is>
          <t>英伟达 B300</t>
        </is>
      </c>
      <c r="D34" s="2" t="n">
        <v>0.266</v>
      </c>
      <c r="E34" s="2" t="n">
        <v>288</v>
      </c>
      <c r="F34">
        <f>D34*E34</f>
        <v/>
      </c>
      <c r="G34" t="inlineStr">
        <is>
          <t>KGI Fig.10（经 CoWoS 页）</t>
        </is>
      </c>
    </row>
    <row r="35">
      <c r="A35" t="n">
        <v>2027</v>
      </c>
      <c r="B35" t="inlineStr">
        <is>
          <t>英伟达</t>
        </is>
      </c>
      <c r="C35" t="inlineStr">
        <is>
          <t>英伟达 Rubin</t>
        </is>
      </c>
      <c r="D35" s="2" t="n">
        <v>5.89</v>
      </c>
      <c r="E35" s="2" t="n">
        <v>288</v>
      </c>
      <c r="F35">
        <f>D35*E35</f>
        <v/>
      </c>
      <c r="G35" t="inlineStr">
        <is>
          <t>KGI Fig.10（经 CoWoS 页）</t>
        </is>
      </c>
    </row>
    <row r="36">
      <c r="A36" t="n">
        <v>2027</v>
      </c>
      <c r="B36" t="inlineStr">
        <is>
          <t>英伟达</t>
        </is>
      </c>
      <c r="C36" t="inlineStr">
        <is>
          <t>英伟达 Rubin Ultra</t>
        </is>
      </c>
      <c r="D36" s="2" t="n">
        <v>2.85</v>
      </c>
      <c r="E36" s="2" t="n">
        <v>256</v>
      </c>
      <c r="F36">
        <f>D36*E36</f>
        <v/>
      </c>
      <c r="G36" t="inlineStr">
        <is>
          <t>KGI Fig.10（经 CoWoS 页）</t>
        </is>
      </c>
    </row>
    <row r="37">
      <c r="A37" t="n">
        <v>2027</v>
      </c>
      <c r="B37" t="inlineStr">
        <is>
          <t>英伟达</t>
        </is>
      </c>
      <c r="C37" t="inlineStr">
        <is>
          <t>英伟达 Vera CPU</t>
        </is>
      </c>
      <c r="D37" s="2" t="n">
        <v>6</v>
      </c>
      <c r="E37" s="2" t="n">
        <v>0</v>
      </c>
      <c r="F37">
        <f>D37*E37</f>
        <v/>
      </c>
      <c r="G37" t="inlineStr">
        <is>
          <t>KGI 正文（经 CoWoS 页）</t>
        </is>
      </c>
    </row>
    <row r="38">
      <c r="A38" t="n">
        <v>2027</v>
      </c>
      <c r="B38" t="inlineStr">
        <is>
          <t>AMD</t>
        </is>
      </c>
      <c r="C38" t="inlineStr">
        <is>
          <t>AMD MI450/MI455</t>
        </is>
      </c>
      <c r="D38" s="2" t="n">
        <v>1.68</v>
      </c>
      <c r="E38" s="2" t="n">
        <v>432</v>
      </c>
      <c r="F38">
        <f>D38*E38</f>
        <v/>
      </c>
      <c r="G38" t="inlineStr">
        <is>
          <t>KGI Fig.10（经 CoWoS 页）</t>
        </is>
      </c>
    </row>
    <row r="39">
      <c r="A39" t="n">
        <v>2027</v>
      </c>
      <c r="B39" t="inlineStr">
        <is>
          <t>AMD</t>
        </is>
      </c>
      <c r="C39" t="inlineStr">
        <is>
          <t>AMD Venice CPU</t>
        </is>
      </c>
      <c r="D39" s="2" t="n">
        <v>4.75</v>
      </c>
      <c r="E39" s="2" t="n">
        <v>0</v>
      </c>
      <c r="F39">
        <f>D39*E39</f>
        <v/>
      </c>
      <c r="G39" t="inlineStr">
        <is>
          <t>KGI 正文(4.5–5.0M)（经 CoWoS 页）</t>
        </is>
      </c>
    </row>
    <row r="40">
      <c r="A40" t="n">
        <v>2027</v>
      </c>
      <c r="B40" t="inlineStr">
        <is>
          <t>其他/中国</t>
        </is>
      </c>
      <c r="C40" t="inlineStr">
        <is>
          <t>其他GPU 其他</t>
        </is>
      </c>
      <c r="D40" s="2" t="n">
        <v>0.6</v>
      </c>
      <c r="E40" s="2" t="n">
        <v>96</v>
      </c>
      <c r="F40">
        <f>D40*E40</f>
        <v/>
      </c>
      <c r="G40" t="inlineStr">
        <is>
          <t>KGI Fig.10（经 CoWoS 页）</t>
        </is>
      </c>
    </row>
    <row r="41">
      <c r="A41" t="n">
        <v>2027</v>
      </c>
      <c r="B41" t="inlineStr">
        <is>
          <t>谷歌TPU</t>
        </is>
      </c>
      <c r="C41" t="inlineStr">
        <is>
          <t>谷歌TPU v8i Sunfish + v8t Zebrafish</t>
        </is>
      </c>
      <c r="D41" s="2" t="n">
        <v>9.103999999999999</v>
      </c>
      <c r="E41" s="2" t="n">
        <v>260</v>
      </c>
      <c r="F41">
        <f>D41*E41</f>
        <v/>
      </c>
      <c r="G41" t="inlineStr">
        <is>
          <t>KGI Fig.10（经 CoWoS 页）</t>
        </is>
      </c>
    </row>
    <row r="42">
      <c r="A42" t="n">
        <v>2027</v>
      </c>
      <c r="B42" t="inlineStr">
        <is>
          <t>AWS</t>
        </is>
      </c>
      <c r="C42" t="inlineStr">
        <is>
          <t>AWS Trainium3</t>
        </is>
      </c>
      <c r="D42" s="2" t="n">
        <v>3.06</v>
      </c>
      <c r="E42" s="2" t="n">
        <v>144</v>
      </c>
      <c r="F42">
        <f>D42*E42</f>
        <v/>
      </c>
      <c r="G42" t="inlineStr">
        <is>
          <t>KGI Fig.10（经 CoWoS 页）</t>
        </is>
      </c>
    </row>
    <row r="43">
      <c r="A43" t="n">
        <v>2027</v>
      </c>
      <c r="B43" t="inlineStr">
        <is>
          <t>其他/中国</t>
        </is>
      </c>
      <c r="C43" t="inlineStr">
        <is>
          <t>其他ASIC Maia/MTIA/OpenAI/其他</t>
        </is>
      </c>
      <c r="D43" s="2" t="n">
        <v>2.3</v>
      </c>
      <c r="E43" s="2" t="n">
        <v>200</v>
      </c>
      <c r="F43">
        <f>D43*E43</f>
        <v/>
      </c>
      <c r="G43" t="inlineStr">
        <is>
          <t>KGI Fig.10（经 CoWoS 页）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厂商</t>
        </is>
      </c>
      <c r="C1" s="1" t="inlineStr">
        <is>
          <t>年均月投片(千片)</t>
        </is>
      </c>
      <c r="D1" s="1" t="inlineStr">
        <is>
          <t>每片有效GB</t>
        </is>
      </c>
      <c r="E1" s="1" t="inlineStr">
        <is>
          <t>稼动率</t>
        </is>
      </c>
      <c r="F1" s="1" t="inlineStr">
        <is>
          <t>年供给(PB)</t>
        </is>
      </c>
    </row>
    <row r="2">
      <c r="A2" t="n">
        <v>2025</v>
      </c>
      <c r="B2" t="inlineStr">
        <is>
          <t>SK hynix</t>
        </is>
      </c>
      <c r="C2" s="2" t="n">
        <v>160</v>
      </c>
      <c r="D2" s="2" t="n">
        <v>750</v>
      </c>
      <c r="E2" s="2" t="n">
        <v>0.85</v>
      </c>
      <c r="F2">
        <f>C2*12*D2*E2/1000</f>
        <v/>
      </c>
    </row>
    <row r="3">
      <c r="A3" t="n">
        <v>2025</v>
      </c>
      <c r="B3" t="inlineStr">
        <is>
          <t>Samsung</t>
        </is>
      </c>
      <c r="C3" s="2" t="n">
        <v>136.9</v>
      </c>
      <c r="D3" s="2" t="n">
        <v>750</v>
      </c>
      <c r="E3" s="2" t="n">
        <v>0.85</v>
      </c>
      <c r="F3">
        <f>C3*12*D3*E3/1000</f>
        <v/>
      </c>
    </row>
    <row r="4">
      <c r="A4" t="n">
        <v>2025</v>
      </c>
      <c r="B4" t="inlineStr">
        <is>
          <t>Micron</t>
        </is>
      </c>
      <c r="C4" s="2" t="n">
        <v>51.9</v>
      </c>
      <c r="D4" s="2" t="n">
        <v>750</v>
      </c>
      <c r="E4" s="2" t="n">
        <v>0.85</v>
      </c>
      <c r="F4">
        <f>C4*12*D4*E4/1000</f>
        <v/>
      </c>
    </row>
    <row r="5">
      <c r="A5" t="n">
        <v>2026</v>
      </c>
      <c r="B5" t="inlineStr">
        <is>
          <t>SK hynix</t>
        </is>
      </c>
      <c r="C5" s="2" t="n">
        <v>209.4</v>
      </c>
      <c r="D5" s="2" t="n">
        <v>880</v>
      </c>
      <c r="E5" s="2" t="n">
        <v>0.9</v>
      </c>
      <c r="F5">
        <f>C5*12*D5*E5/1000</f>
        <v/>
      </c>
    </row>
    <row r="6">
      <c r="A6" t="n">
        <v>2026</v>
      </c>
      <c r="B6" t="inlineStr">
        <is>
          <t>Samsung</t>
        </is>
      </c>
      <c r="C6" s="2" t="n">
        <v>162.5</v>
      </c>
      <c r="D6" s="2" t="n">
        <v>880</v>
      </c>
      <c r="E6" s="2" t="n">
        <v>0.9</v>
      </c>
      <c r="F6">
        <f>C6*12*D6*E6/1000</f>
        <v/>
      </c>
    </row>
    <row r="7">
      <c r="A7" t="n">
        <v>2026</v>
      </c>
      <c r="B7" t="inlineStr">
        <is>
          <t>Micron</t>
        </is>
      </c>
      <c r="C7" s="2" t="n">
        <v>86.90000000000001</v>
      </c>
      <c r="D7" s="2" t="n">
        <v>880</v>
      </c>
      <c r="E7" s="2" t="n">
        <v>0.9</v>
      </c>
      <c r="F7">
        <f>C7*12*D7*E7/1000</f>
        <v/>
      </c>
    </row>
    <row r="8">
      <c r="A8" t="n">
        <v>2027</v>
      </c>
      <c r="B8" t="inlineStr">
        <is>
          <t>SK hynix</t>
        </is>
      </c>
      <c r="C8" s="2" t="n">
        <v>255</v>
      </c>
      <c r="D8" s="2" t="n">
        <v>880</v>
      </c>
      <c r="E8" s="2" t="n">
        <v>0.9</v>
      </c>
      <c r="F8">
        <f>C8*12*D8*E8/1000</f>
        <v/>
      </c>
    </row>
    <row r="9">
      <c r="A9" t="n">
        <v>2027</v>
      </c>
      <c r="B9" t="inlineStr">
        <is>
          <t>Samsung</t>
        </is>
      </c>
      <c r="C9" s="2" t="n">
        <v>226.2</v>
      </c>
      <c r="D9" s="2" t="n">
        <v>880</v>
      </c>
      <c r="E9" s="2" t="n">
        <v>0.9</v>
      </c>
      <c r="F9">
        <f>C9*12*D9*E9/1000</f>
        <v/>
      </c>
    </row>
    <row r="10">
      <c r="A10" t="n">
        <v>2027</v>
      </c>
      <c r="B10" t="inlineStr">
        <is>
          <t>Micron</t>
        </is>
      </c>
      <c r="C10" s="2" t="n">
        <v>137.5</v>
      </c>
      <c r="D10" s="2" t="n">
        <v>880</v>
      </c>
      <c r="E10" s="2" t="n">
        <v>0.9</v>
      </c>
      <c r="F10">
        <f>C10*12*D10*E10/1000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类型</t>
        </is>
      </c>
      <c r="C1" s="1" t="inlineStr">
        <is>
          <t>SK hynix</t>
        </is>
      </c>
      <c r="D1" s="1" t="inlineStr">
        <is>
          <t>Samsung</t>
        </is>
      </c>
      <c r="E1" s="1" t="inlineStr">
        <is>
          <t>Micron</t>
        </is>
      </c>
      <c r="F1" s="1" t="inlineStr">
        <is>
          <t>CXMT</t>
        </is>
      </c>
    </row>
    <row r="2">
      <c r="A2" t="inlineStr">
        <is>
          <t>1Q23</t>
        </is>
      </c>
      <c r="B2" t="inlineStr">
        <is>
          <t>图读数</t>
        </is>
      </c>
      <c r="C2" t="n">
        <v>15</v>
      </c>
      <c r="D2" t="n">
        <v>15</v>
      </c>
      <c r="E2" t="n">
        <v>4</v>
      </c>
      <c r="F2" t="n">
        <v>0</v>
      </c>
    </row>
    <row r="3">
      <c r="A3" t="inlineStr">
        <is>
          <t>2Q23</t>
        </is>
      </c>
      <c r="B3" t="inlineStr">
        <is>
          <t>图读数</t>
        </is>
      </c>
      <c r="C3" t="n">
        <v>20</v>
      </c>
      <c r="D3" t="n">
        <v>20</v>
      </c>
      <c r="E3" t="n">
        <v>4</v>
      </c>
      <c r="F3" t="n">
        <v>0</v>
      </c>
    </row>
    <row r="4">
      <c r="A4" t="inlineStr">
        <is>
          <t>3Q23</t>
        </is>
      </c>
      <c r="B4" t="inlineStr">
        <is>
          <t>图读数</t>
        </is>
      </c>
      <c r="C4" t="n">
        <v>35</v>
      </c>
      <c r="D4" t="n">
        <v>35</v>
      </c>
      <c r="E4" t="n">
        <v>4</v>
      </c>
      <c r="F4" t="n">
        <v>0</v>
      </c>
    </row>
    <row r="5">
      <c r="A5" t="inlineStr">
        <is>
          <t>4Q23</t>
        </is>
      </c>
      <c r="B5" t="inlineStr">
        <is>
          <t>图读数</t>
        </is>
      </c>
      <c r="C5" t="n">
        <v>45</v>
      </c>
      <c r="D5" t="n">
        <v>45</v>
      </c>
      <c r="E5" t="n">
        <v>4</v>
      </c>
      <c r="F5" t="n">
        <v>0</v>
      </c>
    </row>
    <row r="6">
      <c r="A6" t="inlineStr">
        <is>
          <t>1Q24</t>
        </is>
      </c>
      <c r="B6" t="inlineStr">
        <is>
          <t>图读数</t>
        </is>
      </c>
      <c r="C6" t="n">
        <v>60</v>
      </c>
      <c r="D6" t="n">
        <v>45</v>
      </c>
      <c r="E6" t="n">
        <v>10</v>
      </c>
      <c r="F6" t="n">
        <v>0</v>
      </c>
    </row>
    <row r="7">
      <c r="A7" t="inlineStr">
        <is>
          <t>2Q24</t>
        </is>
      </c>
      <c r="B7" t="inlineStr">
        <is>
          <t>图读数</t>
        </is>
      </c>
      <c r="C7" t="n">
        <v>80</v>
      </c>
      <c r="D7" t="n">
        <v>45</v>
      </c>
      <c r="E7" t="n">
        <v>15</v>
      </c>
      <c r="F7" t="n">
        <v>0</v>
      </c>
    </row>
    <row r="8">
      <c r="A8" t="inlineStr">
        <is>
          <t>3Q24</t>
        </is>
      </c>
      <c r="B8" t="inlineStr">
        <is>
          <t>图读数</t>
        </is>
      </c>
      <c r="C8" t="n">
        <v>110</v>
      </c>
      <c r="D8" t="n">
        <v>80</v>
      </c>
      <c r="E8" t="n">
        <v>25</v>
      </c>
      <c r="F8" t="n">
        <v>0</v>
      </c>
    </row>
    <row r="9">
      <c r="A9" t="inlineStr">
        <is>
          <t>4Q24</t>
        </is>
      </c>
      <c r="B9" t="inlineStr">
        <is>
          <t>图读数</t>
        </is>
      </c>
      <c r="C9" t="n">
        <v>135</v>
      </c>
      <c r="D9" t="n">
        <v>115</v>
      </c>
      <c r="E9" t="n">
        <v>30</v>
      </c>
      <c r="F9" t="n">
        <v>0</v>
      </c>
    </row>
    <row r="10">
      <c r="A10" t="inlineStr">
        <is>
          <t>1Q25</t>
        </is>
      </c>
      <c r="B10" t="inlineStr">
        <is>
          <t>插值</t>
        </is>
      </c>
      <c r="C10" t="n">
        <v>145</v>
      </c>
      <c r="D10" t="n">
        <v>123.8</v>
      </c>
      <c r="E10" t="n">
        <v>38.8</v>
      </c>
      <c r="F10" t="n">
        <v>0</v>
      </c>
    </row>
    <row r="11">
      <c r="A11" t="inlineStr">
        <is>
          <t>2Q25</t>
        </is>
      </c>
      <c r="B11" t="inlineStr">
        <is>
          <t>插值</t>
        </is>
      </c>
      <c r="C11" t="n">
        <v>155</v>
      </c>
      <c r="D11" t="n">
        <v>132.5</v>
      </c>
      <c r="E11" t="n">
        <v>47.5</v>
      </c>
      <c r="F11" t="n">
        <v>0</v>
      </c>
    </row>
    <row r="12">
      <c r="A12" t="inlineStr">
        <is>
          <t>3Q25</t>
        </is>
      </c>
      <c r="B12" t="inlineStr">
        <is>
          <t>插值</t>
        </is>
      </c>
      <c r="C12" t="n">
        <v>165</v>
      </c>
      <c r="D12" t="n">
        <v>141.2</v>
      </c>
      <c r="E12" t="n">
        <v>56.2</v>
      </c>
      <c r="F12" t="n">
        <v>0</v>
      </c>
    </row>
    <row r="13">
      <c r="A13" t="inlineStr">
        <is>
          <t>4Q25</t>
        </is>
      </c>
      <c r="B13" t="inlineStr">
        <is>
          <t>锚点</t>
        </is>
      </c>
      <c r="C13" t="n">
        <v>175</v>
      </c>
      <c r="D13" t="n">
        <v>150</v>
      </c>
      <c r="E13" t="n">
        <v>65</v>
      </c>
      <c r="F13" t="n">
        <v>0</v>
      </c>
    </row>
    <row r="14">
      <c r="A14" t="inlineStr">
        <is>
          <t>1Q26</t>
        </is>
      </c>
      <c r="B14" t="inlineStr">
        <is>
          <t>插值</t>
        </is>
      </c>
      <c r="C14" t="n">
        <v>188.8</v>
      </c>
      <c r="D14" t="n">
        <v>155</v>
      </c>
      <c r="E14" t="n">
        <v>73.8</v>
      </c>
      <c r="F14" t="n">
        <v>2.5</v>
      </c>
    </row>
    <row r="15">
      <c r="A15" t="inlineStr">
        <is>
          <t>2Q26</t>
        </is>
      </c>
      <c r="B15" t="inlineStr">
        <is>
          <t>插值</t>
        </is>
      </c>
      <c r="C15" t="n">
        <v>202.5</v>
      </c>
      <c r="D15" t="n">
        <v>160</v>
      </c>
      <c r="E15" t="n">
        <v>82.5</v>
      </c>
      <c r="F15" t="n">
        <v>5</v>
      </c>
    </row>
    <row r="16">
      <c r="A16" t="inlineStr">
        <is>
          <t>3Q26</t>
        </is>
      </c>
      <c r="B16" t="inlineStr">
        <is>
          <t>插值</t>
        </is>
      </c>
      <c r="C16" t="n">
        <v>216.2</v>
      </c>
      <c r="D16" t="n">
        <v>165</v>
      </c>
      <c r="E16" t="n">
        <v>91.2</v>
      </c>
      <c r="F16" t="n">
        <v>7.5</v>
      </c>
    </row>
    <row r="17">
      <c r="A17" t="inlineStr">
        <is>
          <t>4Q26</t>
        </is>
      </c>
      <c r="B17" t="inlineStr">
        <is>
          <t>锚点</t>
        </is>
      </c>
      <c r="C17" t="n">
        <v>230</v>
      </c>
      <c r="D17" t="n">
        <v>170</v>
      </c>
      <c r="E17" t="n">
        <v>100</v>
      </c>
      <c r="F17" t="n">
        <v>10</v>
      </c>
    </row>
    <row r="18">
      <c r="A18" t="inlineStr">
        <is>
          <t>1Q27</t>
        </is>
      </c>
      <c r="B18" t="inlineStr">
        <is>
          <t>插值</t>
        </is>
      </c>
      <c r="C18" t="n">
        <v>240</v>
      </c>
      <c r="D18" t="n">
        <v>192.5</v>
      </c>
      <c r="E18" t="n">
        <v>115</v>
      </c>
      <c r="F18" t="n">
        <v>13.8</v>
      </c>
    </row>
    <row r="19">
      <c r="A19" t="inlineStr">
        <is>
          <t>2Q27</t>
        </is>
      </c>
      <c r="B19" t="inlineStr">
        <is>
          <t>插值</t>
        </is>
      </c>
      <c r="C19" t="n">
        <v>250</v>
      </c>
      <c r="D19" t="n">
        <v>215</v>
      </c>
      <c r="E19" t="n">
        <v>130</v>
      </c>
      <c r="F19" t="n">
        <v>17.5</v>
      </c>
    </row>
    <row r="20">
      <c r="A20" t="inlineStr">
        <is>
          <t>3Q27</t>
        </is>
      </c>
      <c r="B20" t="inlineStr">
        <is>
          <t>插值</t>
        </is>
      </c>
      <c r="C20" t="n">
        <v>260</v>
      </c>
      <c r="D20" t="n">
        <v>237.5</v>
      </c>
      <c r="E20" t="n">
        <v>145</v>
      </c>
      <c r="F20" t="n">
        <v>21.2</v>
      </c>
    </row>
    <row r="21">
      <c r="A21" t="inlineStr">
        <is>
          <t>4Q27</t>
        </is>
      </c>
      <c r="B21" t="inlineStr">
        <is>
          <t>锚点</t>
        </is>
      </c>
      <c r="C21" t="n">
        <v>270</v>
      </c>
      <c r="D21" t="n">
        <v>260</v>
      </c>
      <c r="E21" t="n">
        <v>160</v>
      </c>
      <c r="F21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需求(EB)</t>
        </is>
      </c>
      <c r="C1" s="1" t="inlineStr">
        <is>
          <t>供给(EB)</t>
        </is>
      </c>
      <c r="D1" s="1" t="inlineStr">
        <is>
          <t>缺口/需求</t>
        </is>
      </c>
    </row>
    <row r="2">
      <c r="A2" t="n">
        <v>2025</v>
      </c>
      <c r="B2">
        <f>SUMIF(需求!A2:A43,A2,需求!F2:F43)/1000</f>
        <v/>
      </c>
      <c r="C2">
        <f>SUMIF(供给!A2:A10,A2,供给!F2:F10)/1000</f>
        <v/>
      </c>
      <c r="D2">
        <f>(C2-B2)/B2</f>
        <v/>
      </c>
    </row>
    <row r="3">
      <c r="A3" t="n">
        <v>2026</v>
      </c>
      <c r="B3">
        <f>SUMIF(需求!A2:A43,A3,需求!F2:F43)/1000</f>
        <v/>
      </c>
      <c r="C3">
        <f>SUMIF(供给!A2:A10,A3,供给!F2:F10)/1000</f>
        <v/>
      </c>
      <c r="D3">
        <f>(C3-B3)/B3</f>
        <v/>
      </c>
    </row>
    <row r="4">
      <c r="A4" t="n">
        <v>2027</v>
      </c>
      <c r="B4">
        <f>SUMIF(需求!A2:A43,A4,需求!F2:F43)/1000</f>
        <v/>
      </c>
      <c r="C4">
        <f>SUMIF(供给!A2:A10,A4,供给!F2:F10)/1000</f>
        <v/>
      </c>
      <c r="D4">
        <f>(C4-B4)/B4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本模型</t>
        </is>
      </c>
      <c r="C1" t="inlineStr">
        <is>
          <t>外部口径</t>
        </is>
      </c>
      <c r="D1" t="inlineStr">
        <is>
          <t>来源</t>
        </is>
      </c>
    </row>
    <row r="2">
      <c r="A2" t="inlineStr">
        <is>
          <t>2025 产量</t>
        </is>
      </c>
      <c r="B2" t="inlineStr">
        <is>
          <t>2.67</t>
        </is>
      </c>
      <c r="C2" t="inlineStr">
        <is>
          <t>2.63</t>
        </is>
      </c>
      <c r="D2" t="inlineStr">
        <is>
          <t>iM 证券 2026-06（源65）</t>
        </is>
      </c>
    </row>
    <row r="3">
      <c r="A3" t="inlineStr">
        <is>
          <t>2026 产量</t>
        </is>
      </c>
      <c r="B3" t="inlineStr">
        <is>
          <t>4.36</t>
        </is>
      </c>
      <c r="C3" t="inlineStr">
        <is>
          <t>4.44</t>
        </is>
      </c>
      <c r="D3" t="inlineStr">
        <is>
          <t>iM 证券 2026-06（源65）</t>
        </is>
      </c>
    </row>
    <row r="4">
      <c r="A4" t="inlineStr">
        <is>
          <t>2026 需求</t>
        </is>
      </c>
      <c r="B4" t="inlineStr">
        <is>
          <t>3.84</t>
        </is>
      </c>
      <c r="C4" t="inlineStr">
        <is>
          <t>4.23（iM）/ &gt;3.75（TrendForce 2025-05）</t>
        </is>
      </c>
      <c r="D4" t="inlineStr">
        <is>
          <t>iM 证券（源65）/ TrendForce（源37）</t>
        </is>
      </c>
    </row>
    <row r="5">
      <c r="A5" t="inlineStr">
        <is>
          <t>2027 供给增速</t>
        </is>
      </c>
      <c r="B5" t="inlineStr">
        <is>
          <t>+35%</t>
        </is>
      </c>
      <c r="C5" t="inlineStr">
        <is>
          <t>+45–50%</t>
        </is>
      </c>
      <c r="D5" t="inlineStr">
        <is>
          <t>KGI（源55）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中国账本：国产加速卡能用上的裸 HBM（EB）。中国账本只算"国产加速卡能用上的裸 HBM"：英伟达对华芯片自带 HBM，不在这本账里（2026 年 H200 进入大陆只有约 2 万颗 [源84]）。全球账本相应不再计长鑫产能，两本账不重复。</t>
        </is>
      </c>
    </row>
    <row r="2">
      <c r="A2" s="1" t="inlineStr">
        <is>
          <t>年份</t>
        </is>
      </c>
      <c r="B2" s="1" t="inlineStr">
        <is>
          <t>需求卡数(M)</t>
        </is>
      </c>
      <c r="C2" s="1" t="inlineStr">
        <is>
          <t>每卡GB</t>
        </is>
      </c>
      <c r="D2" s="1" t="inlineStr">
        <is>
          <t>不缺货需求</t>
        </is>
      </c>
      <c r="E2" s="1" t="inlineStr">
        <is>
          <t>机构出货口径需求</t>
        </is>
      </c>
      <c r="F2" s="1" t="inlineStr">
        <is>
          <t>期初库存</t>
        </is>
      </c>
      <c r="G2" s="1" t="inlineStr">
        <is>
          <t>合法进口</t>
        </is>
      </c>
      <c r="H2" s="1" t="inlineStr">
        <is>
          <t>灰色渠道</t>
        </is>
      </c>
      <c r="I2" s="1" t="inlineStr">
        <is>
          <t>长鑫</t>
        </is>
      </c>
      <c r="J2" s="1" t="inlineStr">
        <is>
          <t>武汉新芯</t>
        </is>
      </c>
      <c r="K2" s="1" t="inlineStr">
        <is>
          <t>可用合计</t>
        </is>
      </c>
      <c r="L2" s="1" t="inlineStr">
        <is>
          <t>覆盖率</t>
        </is>
      </c>
      <c r="M2" s="1" t="inlineStr">
        <is>
          <t>覆盖率(出货口径)</t>
        </is>
      </c>
    </row>
    <row r="3">
      <c r="A3" t="n">
        <v>2024</v>
      </c>
      <c r="B3" t="n">
        <v>0.8</v>
      </c>
      <c r="C3" t="n">
        <v>64</v>
      </c>
      <c r="D3" t="n">
        <v>0.0512</v>
      </c>
      <c r="E3" t="n">
        <v>0.0512</v>
      </c>
      <c r="F3" t="n">
        <v>0</v>
      </c>
      <c r="G3" t="n">
        <v>0.182</v>
      </c>
      <c r="H3" t="n">
        <v>0.026</v>
      </c>
      <c r="I3" t="n">
        <v>0</v>
      </c>
      <c r="J3" t="n">
        <v>0</v>
      </c>
      <c r="K3" t="n">
        <v>0.208</v>
      </c>
      <c r="L3" t="n">
        <v>4.062</v>
      </c>
      <c r="M3" t="n">
        <v>4.062</v>
      </c>
    </row>
    <row r="4">
      <c r="A4" t="n">
        <v>2025</v>
      </c>
      <c r="B4" t="n">
        <v>1.3</v>
      </c>
      <c r="C4" t="n">
        <v>96</v>
      </c>
      <c r="D4" t="n">
        <v>0.1248</v>
      </c>
      <c r="E4" t="n">
        <v>0.1248</v>
      </c>
      <c r="F4" t="n">
        <v>0.1568</v>
      </c>
      <c r="G4" t="n">
        <v>0</v>
      </c>
      <c r="H4" t="n">
        <v>0.024</v>
      </c>
      <c r="I4" t="n">
        <v>0.0045</v>
      </c>
      <c r="J4" t="n">
        <v>0.0004</v>
      </c>
      <c r="K4" t="n">
        <v>0.1857</v>
      </c>
      <c r="L4" t="n">
        <v>1.488</v>
      </c>
      <c r="M4" t="n">
        <v>1.488</v>
      </c>
    </row>
    <row r="5">
      <c r="A5" t="n">
        <v>2026</v>
      </c>
      <c r="B5" t="n">
        <v>4.25</v>
      </c>
      <c r="C5" t="n">
        <v>100</v>
      </c>
      <c r="D5" t="n">
        <v>0.425</v>
      </c>
      <c r="E5" t="n">
        <v>0.155</v>
      </c>
      <c r="F5" t="n">
        <v>0.0609</v>
      </c>
      <c r="G5" t="n">
        <v>0</v>
      </c>
      <c r="H5" t="n">
        <v>0.01</v>
      </c>
      <c r="I5" t="n">
        <v>0.0315</v>
      </c>
      <c r="J5" t="n">
        <v>0.0032</v>
      </c>
      <c r="K5" t="n">
        <v>0.1056</v>
      </c>
      <c r="L5" t="n">
        <v>0.248</v>
      </c>
      <c r="M5" t="n">
        <v>0.681</v>
      </c>
    </row>
    <row r="6">
      <c r="A6" t="n">
        <v>2027</v>
      </c>
      <c r="B6" t="n">
        <v>5.25</v>
      </c>
      <c r="C6" t="n">
        <v>150</v>
      </c>
      <c r="D6" t="n">
        <v>0.7875</v>
      </c>
      <c r="E6" t="n">
        <v>0.2985</v>
      </c>
      <c r="F6" t="n">
        <v>0</v>
      </c>
      <c r="G6" t="n">
        <v>0</v>
      </c>
      <c r="H6" t="n">
        <v>0.01</v>
      </c>
      <c r="I6" t="n">
        <v>0.0842</v>
      </c>
      <c r="J6" t="n">
        <v>0.008399999999999999</v>
      </c>
      <c r="K6" t="n">
        <v>0.1026</v>
      </c>
      <c r="L6" t="n">
        <v>0.13</v>
      </c>
      <c r="M6" t="n">
        <v>0.344</v>
      </c>
    </row>
    <row r="7">
      <c r="A7" t="inlineStr">
        <is>
          <t>假设见网页底稿第 3/4/5 步中国块；全部为估或机构口径，非官方数据。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说明</t>
        </is>
      </c>
      <c r="C1" t="inlineStr">
        <is>
          <t>链接</t>
        </is>
      </c>
    </row>
    <row r="2">
      <c r="A2" t="n">
        <v>1</v>
      </c>
      <c r="B2" t="inlineStr">
        <is>
          <t>TrendForce：HBM 投片/位元占比、2027 合约价</t>
        </is>
      </c>
      <c r="C2" t="inlineStr">
        <is>
          <t>https://www.trendforce.com/presscenter/news/20260602-13074.html</t>
        </is>
      </c>
    </row>
    <row r="3">
      <c r="A3" t="n">
        <v>2</v>
      </c>
      <c r="B3" t="inlineStr">
        <is>
          <t>TrendForce HBM 3Q26 报告摘要</t>
        </is>
      </c>
      <c r="C3" t="inlineStr">
        <is>
          <t>https://www.trendforce.com/research/download/RP260805KC3</t>
        </is>
      </c>
    </row>
    <row r="4">
      <c r="A4" t="n">
        <v>3</v>
      </c>
      <c r="B4" t="inlineStr">
        <is>
          <t>TrendForce HBM 价格展望摘要</t>
        </is>
      </c>
      <c r="C4" t="inlineStr">
        <is>
          <t>https://www.trendforce.com/research/download/RP260527UC</t>
        </is>
      </c>
    </row>
    <row r="5">
      <c r="A5" t="n">
        <v>4</v>
      </c>
      <c r="B5" t="inlineStr">
        <is>
          <t>SK 海力士 2Q26 财报</t>
        </is>
      </c>
      <c r="C5" t="inlineStr">
        <is>
          <t>https://news.skhynix.com/en/q2-2026-business-results/</t>
        </is>
      </c>
    </row>
    <row r="6">
      <c r="A6" t="n">
        <v>5</v>
      </c>
      <c r="B6" t="inlineStr">
        <is>
          <t>首尔经济：海力士财报会（HBM4 良率）</t>
        </is>
      </c>
      <c r="C6" t="inlineStr">
        <is>
          <t>https://en.sedaily.com/finance/2026/07/29/sk-hynix-ramps-up-hbm4-in-second-half-to-boost-record-763</t>
        </is>
      </c>
    </row>
    <row r="7">
      <c r="A7" t="n">
        <v>6</v>
      </c>
      <c r="B7" t="inlineStr">
        <is>
          <t>美光 FQ4 2026 财报</t>
        </is>
      </c>
      <c r="C7" t="inlineStr">
        <is>
          <t>https://investors.micron.com/news/press-release/2026/Micron-Technology-Inc--Reports-Record-Fiscal-Fourth-Quarter-and-Full-Year-2026-Results/default.aspx</t>
        </is>
      </c>
    </row>
    <row r="8">
      <c r="A8" t="n">
        <v>7</v>
      </c>
      <c r="B8" t="inlineStr">
        <is>
          <t>TrendForce 转 ETNews/Chosun：美光 10 万片、三星 15 万片</t>
        </is>
      </c>
      <c r="C8" t="inlineStr">
        <is>
          <t>https://www.trendforce.com/news/2026/09/04/news-micron-reportedly-to-add-60k-hbm-wafersm-reaching-100k-by-year-end-to-narrow-gap-with-samsung-sk-hynix/</t>
        </is>
      </c>
    </row>
    <row r="9">
      <c r="A9" t="n">
        <v>8</v>
      </c>
      <c r="B9" t="inlineStr">
        <is>
          <t>BigGo：三星 18 万 → 25 万片、base die 路线</t>
        </is>
      </c>
      <c r="C9" t="inlineStr">
        <is>
          <t>https://finance.biggo.com/news/a6fce0cd-0fa5-463a-843d-d450cb21504a</t>
        </is>
      </c>
    </row>
    <row r="10">
      <c r="A10" t="n">
        <v>9</v>
      </c>
      <c r="B10" t="inlineStr">
        <is>
          <t>Silicon Analysts：良率才是瓶颈、3 倍耗片</t>
        </is>
      </c>
      <c r="C10" t="inlineStr">
        <is>
          <t>https://siliconanalysts.com/analysis/hbm4-capacity-bottleneck-2026-samsung-sk-hynix-qual</t>
        </is>
      </c>
    </row>
    <row r="11">
      <c r="A11" t="n">
        <v>10</v>
      </c>
      <c r="B11" t="inlineStr">
        <is>
          <t>三星 3Q26 业绩指引</t>
        </is>
      </c>
      <c r="C11" t="inlineStr">
        <is>
          <t>https://news.samsung.com/global/samsung-electronics-announces-earnings-guidance-for-third-quarter-2026</t>
        </is>
      </c>
    </row>
    <row r="12">
      <c r="A12" t="n">
        <v>11</v>
      </c>
      <c r="B12" t="inlineStr">
        <is>
          <t>Counterpoint HBM 份额</t>
        </is>
      </c>
      <c r="C12" t="inlineStr">
        <is>
          <t>https://counterpointresearch.com/en/insights/global-dram-and-hbm-market-share</t>
        </is>
      </c>
    </row>
    <row r="13">
      <c r="A13" t="n">
        <v>12</v>
      </c>
      <c r="B13" t="inlineStr">
        <is>
          <t>TrendForce 转经济日报：CoWoS 产能</t>
        </is>
      </c>
      <c r="C13" t="inlineStr">
        <is>
          <t>https://www.trendforce.com/news/2026/06/15/news-tsmc-cowos-supply-demand-gap-reportedly-seen-narrowing-from-20-to-10-by-end-2026-as-capacity-expands/</t>
        </is>
      </c>
    </row>
    <row r="14">
      <c r="A14" t="n">
        <v>13</v>
      </c>
      <c r="B14" t="inlineStr">
        <is>
          <t>Hilo 转述摩根士丹利：2027 CoWoS 200k</t>
        </is>
      </c>
      <c r="C14" t="inlineStr">
        <is>
          <t>https://www.xxquant.com/en/institution/institutional-research/f7e9d2c0b2fbcc074e2beadf4a047434</t>
        </is>
      </c>
    </row>
    <row r="15">
      <c r="A15" t="n">
        <v>14</v>
      </c>
      <c r="B15" t="inlineStr">
        <is>
          <t>Hilo：Blackwell/Rubin 出货</t>
        </is>
      </c>
      <c r="C15" t="inlineStr">
        <is>
          <t>https://www.xxquant.com/en/institution/institutional-research/0a814e35a57b0479f86051f2dabbc088</t>
        </is>
      </c>
    </row>
    <row r="16">
      <c r="A16" t="n">
        <v>15</v>
      </c>
      <c r="B16" t="inlineStr">
        <is>
          <t>老虎证券转 JPMorgan：TPU 370 万/500 万</t>
        </is>
      </c>
      <c r="C16" t="inlineStr">
        <is>
          <t>https://www.itiger.com/hans/news/1109625222</t>
        </is>
      </c>
    </row>
    <row r="17">
      <c r="A17" t="n">
        <v>16</v>
      </c>
      <c r="B17" t="inlineStr">
        <is>
          <t>TrendForce：Blackwell 占 2026 高端 GPU 超 70%</t>
        </is>
      </c>
      <c r="C17" t="inlineStr">
        <is>
          <t>https://www.trendforce.com/presscenter/news/20260408-13003.html</t>
        </is>
      </c>
    </row>
    <row r="18">
      <c r="A18" t="n">
        <v>17</v>
      </c>
      <c r="B18" t="inlineStr">
        <is>
          <t>首尔经济：韩美 442 亿韩元 TCB 订单</t>
        </is>
      </c>
      <c r="C18" t="inlineStr">
        <is>
          <t>https://en.sedaily.com/finance/2026/06/08/hanmi-semiconductor-wins-442-billion-won-order-to-supply</t>
        </is>
      </c>
    </row>
    <row r="19">
      <c r="A19" t="n">
        <v>18</v>
      </c>
      <c r="B19" t="inlineStr">
        <is>
          <t>The Elec：ASMPT 获海力士 HBM4 TCB 订单</t>
        </is>
      </c>
      <c r="C19" t="inlineStr">
        <is>
          <t>https://www.thelec.net/news/articleView.html?idxno=5517</t>
        </is>
      </c>
    </row>
    <row r="20">
      <c r="A20" t="n">
        <v>19</v>
      </c>
      <c r="B20" t="inlineStr">
        <is>
          <t>亚洲经济：韩美二代混合键合机</t>
        </is>
      </c>
      <c r="C20" t="inlineStr">
        <is>
          <t>https://www.asiae.co.kr/en/article/2026040909273077978</t>
        </is>
      </c>
    </row>
    <row r="21">
      <c r="A21" t="n">
        <v>20</v>
      </c>
      <c r="B21" t="inlineStr">
        <is>
          <t>首尔经济：韩国 9 月出口</t>
        </is>
      </c>
      <c r="C21" t="inlineStr">
        <is>
          <t>https://en.sedaily.com/finance/2026/10/01/koreas-september-exports-hit-record-1209-billion-on-chip</t>
        </is>
      </c>
    </row>
    <row r="22">
      <c r="A22" t="n">
        <v>21</v>
      </c>
      <c r="B22" t="inlineStr">
        <is>
          <t>亚洲经济：10 月 1–10 日出口</t>
        </is>
      </c>
      <c r="C22" t="inlineStr">
        <is>
          <t>https://www.asiae.co.kr/en/article/2026101209183424033</t>
        </is>
      </c>
    </row>
    <row r="23">
      <c r="A23" t="n">
        <v>22</v>
      </c>
      <c r="B23" t="inlineStr">
        <is>
          <t>The Economy：长鑫 HBM 良率 25%</t>
        </is>
      </c>
      <c r="C23" t="inlineStr">
        <is>
          <t>https://economy.ac/news/2026/09/202609295581</t>
        </is>
      </c>
    </row>
    <row r="24">
      <c r="A24" t="n">
        <v>23</v>
      </c>
      <c r="B24" t="inlineStr">
        <is>
          <t>SK海力士 IR：股权结构（SK Square 20.5%，2026-05-06）</t>
        </is>
      </c>
      <c r="C24" t="inlineStr">
        <is>
          <t>https://www.skhynix.com/ir/UI-FR-IR04/</t>
        </is>
      </c>
    </row>
    <row r="25">
      <c r="A25" t="n">
        <v>24</v>
      </c>
      <c r="B25" t="inlineStr">
        <is>
          <t>三星证券 2024-03 报告（HBM Capa 季度图）</t>
        </is>
      </c>
      <c r="C25" t="inlineStr">
        <is>
          <t>https://www.samsungpop.com/common.do?cmd=down&amp;contentType=application%2Fpdf&amp;fileName=2020%2F2024032107171771K_02_03.pdf&amp;inlineYn=Y&amp;saveKey=research.pdf</t>
        </is>
      </c>
    </row>
    <row r="26">
      <c r="A26" t="n">
        <v>25</v>
      </c>
      <c r="B26" t="inlineStr">
        <is>
          <t>TrendForce 2024-03：2024 HBM 位元供给 +260%、die 大 35–45%、良率低 20–30%、年底产能</t>
        </is>
      </c>
      <c r="C26" t="inlineStr">
        <is>
          <t>https://www.trendforce.com/presscenter/news/20240318-12081.html</t>
        </is>
      </c>
    </row>
    <row r="27">
      <c r="A27" t="n">
        <v>26</v>
      </c>
      <c r="B27" t="inlineStr">
        <is>
          <t>TrendForce 转工商时报：美光广岛 4Q24 约 2.5 万片</t>
        </is>
      </c>
      <c r="C27" t="inlineStr">
        <is>
          <t>https://www.trendforce.com/news/2024/07/10/news-samsung-sk-hynix-and-micron-ramp-up-hbm-production-reportedly-doubling-output-next-year/</t>
        </is>
      </c>
    </row>
    <row r="28">
      <c r="A28" t="n">
        <v>27</v>
      </c>
      <c r="B28" t="inlineStr">
        <is>
          <t>Jukan 转三星证券 2025-05：2025 年底产能</t>
        </is>
      </c>
      <c r="C28" t="inlineStr">
        <is>
          <t>https://www.semiconsam.com/p/samsung-securities-hbm-analysis-2025515</t>
        </is>
      </c>
    </row>
    <row r="29">
      <c r="A29" t="n">
        <v>28</v>
      </c>
      <c r="B29" t="inlineStr">
        <is>
          <t>BusinessKorea：三星 18 万 → 25 万片、M15X 扩至 8 万片</t>
        </is>
      </c>
      <c r="C29" t="inlineStr">
        <is>
          <t>https://www.businesskorea.co.kr/news/articleView.html?idxno=277595</t>
        </is>
      </c>
    </row>
    <row r="30">
      <c r="A30" t="n">
        <v>29</v>
      </c>
      <c r="B30" t="inlineStr">
        <is>
          <t>首尔经济 2025-12：M15X 投资、洁净室时间表、龙仁一厂 35 万片</t>
        </is>
      </c>
      <c r="C30" t="inlineStr">
        <is>
          <t>https://en.sedaily.com/finance/2025/12/25/sk-hynix-to-launch-m15x-fab-in-may-2026-cementing-global-ai</t>
        </is>
      </c>
    </row>
    <row r="31">
      <c r="A31" t="n">
        <v>30</v>
      </c>
      <c r="B31" t="inlineStr">
        <is>
          <t>韩国产业通商部：2015–2025 月度半导体/存储出口（公共数据门户 CSV）</t>
        </is>
      </c>
      <c r="C31" t="inlineStr">
        <is>
          <t>https://www.data.go.kr/data/15051126/fileData.do</t>
        </is>
      </c>
    </row>
    <row r="32">
      <c r="A32" t="n">
        <v>31</v>
      </c>
      <c r="B32" t="inlineStr">
        <is>
          <t>产业通商部：2026 年 1–8 月月度半导体出口</t>
        </is>
      </c>
      <c r="C32" t="inlineStr">
        <is>
          <t>https://www.motir.go.kr/kor/article/ATCL3f49a5a8c/172161/view</t>
        </is>
      </c>
    </row>
    <row r="33">
      <c r="A33" t="n">
        <v>32</v>
      </c>
      <c r="B33" t="inlineStr">
        <is>
          <t>Silicon Analysts：HBM 每 GB 价格汇编（二手汇编，免费部分）</t>
        </is>
      </c>
      <c r="C33" t="inlineStr">
        <is>
          <t>https://siliconanalysts.com/market-data/hbm-pricing</t>
        </is>
      </c>
    </row>
    <row r="34">
      <c r="A34" t="n">
        <v>33</v>
      </c>
      <c r="B34" t="inlineStr">
        <is>
          <t>TrendForce 转富邦/MoneyToday：HBM4 $31–32/GB、HBM3E $17–18/GB</t>
        </is>
      </c>
      <c r="C34" t="inlineStr">
        <is>
          <t>https://www.trendforce.com/news/2026/08/13/news-samsung-sk-hynixs-hbm4-push-puts-hbm-general-memory-pricing-in-the-spotlight-for-2h-earnings/</t>
        </is>
      </c>
    </row>
    <row r="35">
      <c r="A35" t="n">
        <v>34</v>
      </c>
      <c r="B35" t="inlineStr">
        <is>
          <t>Korea Herald 2026-10-07：三星 2027 HBM 价格、HBM3E 约 $1.50/Gb</t>
        </is>
      </c>
      <c r="C35" t="inlineStr">
        <is>
          <t>https://www.koreaherald.com/article/10895833</t>
        </is>
      </c>
    </row>
    <row r="36">
      <c r="A36" t="n">
        <v>35</v>
      </c>
      <c r="B36" t="inlineStr">
        <is>
          <t>首尔经济 2026-10-01：HBM4 $600 → $1,300/颗</t>
        </is>
      </c>
      <c r="C36" t="inlineStr">
        <is>
          <t>https://en.sedaily.com/finance/2026/10/01/hbm-prices-to-more-than-double-next-year-as-shortage</t>
        </is>
      </c>
    </row>
    <row r="37">
      <c r="A37" t="n">
        <v>36</v>
      </c>
      <c r="B37" t="inlineStr">
        <is>
          <t>TrendForce 2026-09-29：2027 HBM 混合 ASP +121%</t>
        </is>
      </c>
      <c r="C37" t="inlineStr">
        <is>
          <t>https://www.trendforce.com/presscenter/news/20260929-13255.html</t>
        </is>
      </c>
    </row>
    <row r="38">
      <c r="A38" t="n">
        <v>37</v>
      </c>
      <c r="B38" t="inlineStr">
        <is>
          <t>TrendForce 2025-05-22：HBM4 溢价预计超 30%；2026 年 HBM 总出货将超过 300 亿 Gb（≈3.75 EB）</t>
        </is>
      </c>
      <c r="C38" t="inlineStr">
        <is>
          <t>https://www.trendforce.com/presscenter/news/20250522-12589.html</t>
        </is>
      </c>
    </row>
    <row r="39">
      <c r="A39" t="n">
        <v>38</v>
      </c>
      <c r="B39" t="inlineStr">
        <is>
          <t>TrendForce 2024-05：HBM 约 DDR5 的 5 倍价</t>
        </is>
      </c>
      <c r="C39" t="inlineStr">
        <is>
          <t>https://www.trendforce.com/presscenter/news/20240506-12125.html</t>
        </is>
      </c>
    </row>
    <row r="40">
      <c r="A40" t="n">
        <v>39</v>
      </c>
      <c r="B40" t="inlineStr">
        <is>
          <t>Applied Materials：HBM 新增 19 道工序、封装设备份额</t>
        </is>
      </c>
      <c r="C40" t="inlineStr">
        <is>
          <t>https://www.appliedmaterials.com/us/en/newsroom/blogs/hbm--materials-innovation-propels-high-bandwidth-memory-into-the.html</t>
        </is>
      </c>
    </row>
    <row r="41">
      <c r="A41" t="n">
        <v>40</v>
      </c>
      <c r="B41" t="inlineStr">
        <is>
          <t>Dealsite：SK 海力士 MR-MUF 材料由 NAMICS 独家供应</t>
        </is>
      </c>
      <c r="C41" t="inlineStr">
        <is>
          <t>https://dealsite.co.kr/articles/119413</t>
        </is>
      </c>
    </row>
    <row r="42">
      <c r="A42" t="n">
        <v>41</v>
      </c>
      <c r="B42" t="inlineStr">
        <is>
          <t>ASMPT 2025 年报公告：先进封装 5.32 亿美元、TCB</t>
        </is>
      </c>
      <c r="C42" t="inlineStr">
        <is>
          <t>https://www.asmpt.com/en/investor-relations/news-events/asmpt-announces-2025-annual-results/</t>
        </is>
      </c>
    </row>
    <row r="43">
      <c r="A43" t="n">
        <v>42</v>
      </c>
      <c r="B43" t="inlineStr">
        <is>
          <t>Wccftech 转 ZDNet Korea：长鑫 HBM3 延后、长电 HBM3E 方案</t>
        </is>
      </c>
      <c r="C43" t="inlineStr">
        <is>
          <t>https://wccftech.com/china-ymtc-hits-hbm3-roadblock-domestic-makers-rush-hbm-manufacturing/</t>
        </is>
      </c>
    </row>
    <row r="44">
      <c r="A44" t="n">
        <v>43</v>
      </c>
      <c r="B44" t="inlineStr">
        <is>
          <t>The Elec 2026-03：HBM 约占 DRAM 产出 15%</t>
        </is>
      </c>
      <c r="C44" t="inlineStr">
        <is>
          <t>https://www.thelec.net/news/articleView.html?idxno=5886</t>
        </is>
      </c>
    </row>
    <row r="45">
      <c r="A45" t="n">
        <v>44</v>
      </c>
      <c r="B45" t="inlineStr">
        <is>
          <t>NVIDIA 与 SK 海力士多年合作（2026-06-07）</t>
        </is>
      </c>
      <c r="C45" t="inlineStr">
        <is>
          <t>https://nvidianews.nvidia.com/news/sk-hynix-ai-factory</t>
        </is>
      </c>
    </row>
    <row r="46">
      <c r="A46" t="n">
        <v>45</v>
      </c>
      <c r="B46" t="inlineStr">
        <is>
          <t>美光：HBM4 为 NVIDIA Vera Rubin 设计并量产（2026-03-16）</t>
        </is>
      </c>
      <c r="C46" t="inlineStr">
        <is>
          <t>https://investors.micron.com/news/press-release/2026/Micron-in-High-Volume-Production-of-HBM4-Designed-for-NVIDIA-Vera-Rubin-PCIe-Gen6-SSD-and-SOCAMM2-03-16-2026/default.aspx</t>
        </is>
      </c>
    </row>
    <row r="47">
      <c r="A47" t="n">
        <v>46</v>
      </c>
      <c r="B47" t="inlineStr">
        <is>
          <t>三星：首家商用 HBM4 出货（未点名客户）</t>
        </is>
      </c>
      <c r="C47" t="inlineStr">
        <is>
          <t>https://news.samsung.com/global/samsung-ships-industry-first-commercial-hbm4-with-ultimate-performance-for-ai-computing</t>
        </is>
      </c>
    </row>
    <row r="48">
      <c r="A48" t="n">
        <v>47</v>
      </c>
      <c r="B48" t="inlineStr">
        <is>
          <t>TSMC 4Q25 法说会：先进封装营收占比（转引原话）</t>
        </is>
      </c>
      <c r="C48" t="inlineStr">
        <is>
          <t>https://www.aipredictionindex.com/p/wei-2026-advanced-packaging-low-teens-2026/</t>
        </is>
      </c>
    </row>
    <row r="49">
      <c r="A49" t="n">
        <v>48</v>
      </c>
      <c r="B49" t="inlineStr">
        <is>
          <t>SK 海力士季度营收/利润（StockAnalysis 汇总财报）</t>
        </is>
      </c>
      <c r="C49" t="inlineStr">
        <is>
          <t>https://stockanalysis.com/quote/krx/000660/financials/?p=quarterly</t>
        </is>
      </c>
    </row>
    <row r="50">
      <c r="A50" t="n">
        <v>49</v>
      </c>
      <c r="B50" t="inlineStr">
        <is>
          <t>美光季度营收/毛利（SEC XBRL API）</t>
        </is>
      </c>
      <c r="C50" t="inlineStr">
        <is>
          <t>https://data.sec.gov/api/xbrl/companyfacts/CIK0000723125.json</t>
        </is>
      </c>
    </row>
    <row r="51">
      <c r="A51" t="n">
        <v>50</v>
      </c>
      <c r="B51" t="inlineStr">
        <is>
          <t>Tushare fina_mainbz：A 股公司 2025 年报主营构成</t>
        </is>
      </c>
      <c r="C51" t="inlineStr">
        <is>
          <t>https://tushare.pro/document/2?doc_id=81</t>
        </is>
      </c>
    </row>
    <row r="52">
      <c r="A52" t="n">
        <v>51</v>
      </c>
      <c r="B52" t="inlineStr">
        <is>
          <t>TrendForce 2025-12：三星、海力士 2026 HBM3E 提价约 20%</t>
        </is>
      </c>
      <c r="C52" t="inlineStr">
        <is>
          <t>https://www.trendforce.com/news/2025/12/24/news-samsung-sk-hynix-reportedly-plan-20-hbm3e-price-hike-for-2026-as-nvidia-h200-asic-demand-rises/</t>
        </is>
      </c>
    </row>
    <row r="53">
      <c r="A53" t="n">
        <v>52</v>
      </c>
      <c r="B53" t="inlineStr">
        <is>
          <t>NVIDIA CFO Commentary Q2 FY2027（SEC）：供应与产能承诺 1,190 亿 → 2,790 亿美元，主要为存储</t>
        </is>
      </c>
      <c r="C53" t="inlineStr">
        <is>
          <t>https://www.sec.gov/Archives/edgar/data/1045810/000104581026000073/q2fy27cfocommentary.htm</t>
        </is>
      </c>
    </row>
    <row r="54">
      <c r="A54" t="n">
        <v>53</v>
      </c>
      <c r="B54" t="inlineStr">
        <is>
          <t>Datacentres.com：四大云厂商 2026 年资本开支指引（引各公司 7 月电话会）</t>
        </is>
      </c>
      <c r="C54" t="inlineStr">
        <is>
          <t>https://www.datacentres.com/guides/hyperscaler-capex-trends</t>
        </is>
      </c>
    </row>
    <row r="55">
      <c r="A55" t="n">
        <v>54</v>
      </c>
      <c r="B55" t="inlineStr">
        <is>
          <t>Midgard Finance：云业务营收、积压订单、资本开支、AWS 资产回报（取自各公司财报）</t>
        </is>
      </c>
      <c r="C55" t="inlineStr">
        <is>
          <t>https://www.midgardfinance.com/research/cloud/</t>
        </is>
      </c>
    </row>
    <row r="56">
      <c r="A56" t="n">
        <v>55</v>
      </c>
      <c r="B56" t="inlineStr">
        <is>
          <t>KGI 2026-09-15：2027 年 HBM 供给 +45–50%、英伟达下调 HBM 规格以最大化出货</t>
        </is>
      </c>
      <c r="C56" t="inlineStr">
        <is>
          <t>https://www.kgi.com.hk/en/-/media/files/kgishk/research-reports/tw-reports/semiconductor-sector-_20260915_en.pdf</t>
        </is>
      </c>
    </row>
    <row r="57">
      <c r="A57" t="n">
        <v>56</v>
      </c>
      <c r="B57" t="inlineStr">
        <is>
          <t>本站 CoWoS 小链（按出货反推 HBM 需求）</t>
        </is>
      </c>
      <c r="C57" t="inlineStr">
        <is>
          <t>https://johnpeng-cn.github.io/chain-site/cowos.html#iface</t>
        </is>
      </c>
    </row>
    <row r="58">
      <c r="A58" t="n">
        <v>57</v>
      </c>
      <c r="B58" t="inlineStr">
        <is>
          <t>电子新闻 ETNews 2025-07-30：韩美半导体 TC 键合机月产能 35 台，2026 年扩到 45 台；HBM3E 12 层用 TC 键合机份额 90% 以上</t>
        </is>
      </c>
      <c r="C58" t="inlineStr">
        <is>
          <t>https://www.etnews.com/20250730000336</t>
        </is>
      </c>
    </row>
    <row r="59">
      <c r="A59" t="n">
        <v>58</v>
      </c>
      <c r="B59" t="inlineStr">
        <is>
          <t>亚洲经济 2024-07-05：韩美半导体年产 264 台（月 22 台）TC 键合机</t>
        </is>
      </c>
      <c r="C59" t="inlineStr">
        <is>
          <t>https://www.asiae.co.kr/en/article/2024070519155971905</t>
        </is>
      </c>
    </row>
    <row r="60">
      <c r="A60" t="n">
        <v>59</v>
      </c>
      <c r="B60" t="inlineStr">
        <is>
          <t>The Elec 2025-03-14：SK 海力士 2025 年计划采购约 80 台 TC 键合机，每条 HBM 线 2 台</t>
        </is>
      </c>
      <c r="C60" t="inlineStr">
        <is>
          <t>https://www.thelec.net/news/articleView.html?idxno=5189</t>
        </is>
      </c>
    </row>
    <row r="61">
      <c r="A61" t="n">
        <v>60</v>
      </c>
      <c r="B61" t="inlineStr">
        <is>
          <t>Tom's Hardware 2026-03-09：T-glass 短缺，日东纺约 90%</t>
        </is>
      </c>
      <c r="C61" t="inlineStr">
        <is>
          <t>https://www.tomshardware.com/tech-industry/shortages-of-crucial-chip-packaging-material-threatens-ai-accelerator-supply-chains-nittobos-fukushima-plant-is-tripling-capacity-but-itll-take-years-before-market</t>
        </is>
      </c>
    </row>
    <row r="62">
      <c r="A62" t="n">
        <v>61</v>
      </c>
      <c r="B62" t="inlineStr">
        <is>
          <t>FinmoConf：台积电 2Q26 法说会纪要（封装限制客户成长、测试机短缺、资本开支）</t>
        </is>
      </c>
      <c r="C62" t="inlineStr">
        <is>
          <t>https://finmoconf.diveinvest.net/en/tsmc/2026-q2</t>
        </is>
      </c>
    </row>
    <row r="63">
      <c r="A63" t="n">
        <v>62</v>
      </c>
      <c r="B63" t="inlineStr">
        <is>
          <t>优分析 2026-09-17：弘塑订单看到 2030 年、交期 10–12 个月</t>
        </is>
      </c>
      <c r="C63" t="inlineStr">
        <is>
          <t>https://uanalyze.com.tw/articles/7953455522</t>
        </is>
      </c>
    </row>
    <row r="64">
      <c r="A64" t="n">
        <v>63</v>
      </c>
      <c r="B64" t="inlineStr">
        <is>
          <t>UBS 2026-10（经그로쓰리서치/여의도뉴스 2026-10-06 转述）：HBM 年末产能（千片/月）海力士 175/230/270、三星 150/170/260、美光 65/100/160，三家合计 390 → 500 → 690（2025–27）</t>
        </is>
      </c>
      <c r="C64" t="inlineStr">
        <is>
          <t>https://yeouidonews.com/go/117844</t>
        </is>
      </c>
    </row>
    <row r="65">
      <c r="A65" t="n">
        <v>64</v>
      </c>
      <c r="B65" t="inlineStr">
        <is>
          <t>首尔经济 2026-07-31：UBS 估海力士 HBM 产能 2026 年底 23 万、2027 年底 27 万片/月（投片口径）；2027 年按位元份额三星 41%、海力士 39%</t>
        </is>
      </c>
      <c r="C65" t="inlineStr">
        <is>
          <t>https://www.sedaily.com/article/20074170</t>
        </is>
      </c>
    </row>
    <row r="66">
      <c r="A66" t="n">
        <v>65</v>
      </c>
      <c r="B66" t="inlineStr">
        <is>
          <t>iM 证券 2026-06-22《月刊半导体 7 月》（宋明燮）：2025 年 HBM 产量 26.3 亿 GB、实际需求 21.7 亿 GB；2026 年产量预计 44.4 亿 GB（海力士 23.8、三星 13.8、美光 6.9）、需求 42.3 亿 GB；三星满产可做 16.3 亿 GB 但偏向普通 DRAM</t>
        </is>
      </c>
      <c r="C66" t="inlineStr">
        <is>
          <t>https://stock.pstatic.net/stock-research/industry/61/20260622_industry_540142000.pdf</t>
        </is>
      </c>
    </row>
    <row r="67">
      <c r="A67" t="n">
        <v>66</v>
      </c>
      <c r="B67" t="inlineStr">
        <is>
          <t>TrendForce 2026-09-29：三星称 HBM 2027 年占业界 DRAM 产能近 30%（现约 20%）；首尔经济称三星 HBM 平均月投片约 18 万 → 2027 年约 25 万</t>
        </is>
      </c>
      <c r="C67" t="inlineStr">
        <is>
          <t>https://www.trendforce.com/news/2026/09/29/news-samsung-sees-hbm-taking-nearly-30-of-industry-dram-capacity-in-2027-up-from-20-currently/</t>
        </is>
      </c>
    </row>
    <row r="68">
      <c r="A68" t="n">
        <v>67</v>
      </c>
      <c r="B68" t="inlineStr">
        <is>
          <t>TrendForce 2026-06-09 报告摘要：2027 年 HBM 合约谈判僵持，供应商要求大幅涨价以对齐普通 DRAM 的晶圆产值</t>
        </is>
      </c>
      <c r="C68" t="inlineStr">
        <is>
          <t>https://www.trendforce.com/research/download/RP260609OD3</t>
        </is>
      </c>
    </row>
    <row r="69">
      <c r="A69" t="n">
        <v>68</v>
      </c>
      <c r="B69" t="inlineStr">
        <is>
          <t>美国联邦公报 2024-12-05（BIS 暂行最终规则 2024-28270）：新增 ECCN 3A090.c，存储带宽密度 &gt; 2 GB/s/mm² 的 HBM（即所有在产 HBM）对华需许可，2024-12-31 起执行；境外生产的 HBM 经先进计算 FDP 规则纳入</t>
        </is>
      </c>
      <c r="C69" t="inlineStr">
        <is>
          <t>https://www.federalregister.gov/d/2024-28270</t>
        </is>
      </c>
    </row>
    <row r="70">
      <c r="A70" t="n">
        <v>69</v>
      </c>
      <c r="B70" t="inlineStr">
        <is>
          <t>eCFR 15 CFR 740.25 许可例外 HBM：只适用于带宽密度 &lt; 3.3 GB/s/mm² 的 HBM，且有条件</t>
        </is>
      </c>
      <c r="C70" t="inlineStr">
        <is>
          <t>https://www.ecfr.gov/current/title-15/subtitle-B/chapter-VII/subchapter-C/part-740/section-740.25</t>
        </is>
      </c>
    </row>
    <row r="71">
      <c r="A71" t="n">
        <v>70</v>
      </c>
      <c r="B71" t="inlineStr">
        <is>
          <t>Korea Herald 2024-12-03：BIS 禁令覆盖所有在产 HBM；已集成在逻辑芯片里的 HBM 不在此列；三星约 20% 的 HBM 销售来自中国（业内人士）</t>
        </is>
      </c>
      <c r="C71" t="inlineStr">
        <is>
          <t>https://www.koreaherald.com/article/10012262</t>
        </is>
      </c>
    </row>
    <row r="72">
      <c r="A72" t="n">
        <v>71</v>
      </c>
      <c r="B72" t="inlineStr">
        <is>
          <t>路透 2024-08-06 独家：华为、百度等中国公司囤积三星 HBM；1H24 中国约占三星 HBM 营收 30%（路透需登录，内容据搜索摘要与 archive 转载）</t>
        </is>
      </c>
      <c r="C72" t="inlineStr">
        <is>
          <t>https://www.reuters.com/technology/chinese-firms-stockpile-high-end-samsung-chips-they-await-new-us-curbs-say-2024-08-06/</t>
        </is>
      </c>
    </row>
    <row r="73">
      <c r="A73" t="n">
        <v>72</v>
      </c>
      <c r="B73" t="inlineStr">
        <is>
          <t>SemiAnalysis 2025-09-08《Huawei Ascend Production Ramp》：昇腾 2024 年 50.7 万、2025 年 80.5 万（其中 910C 65.3 万）；中国囤 HBM 约 1,300 万颗（其中 1,140 万直接来自三星，禁令生效前一个月约 700 万）；CoAsia/Faraday 绕道（HBM2E 与 16nm 芯片同封后拆下，已停）；台积电代工 die bank &gt; 290 万；长鑫 2026 年约 200 万颗；韩美 TCB 受限</t>
        </is>
      </c>
      <c r="C73" t="inlineStr">
        <is>
          <t>https://newsletter.semianalysis.com/p/huawei-ascend-production-ramp</t>
        </is>
      </c>
    </row>
    <row r="74">
      <c r="A74" t="n">
        <v>73</v>
      </c>
      <c r="B74" t="inlineStr">
        <is>
          <t>SemiAnalysis 2026-06-23《China’s CXMT Is Set to Challenge DRAM Incumbents》：长鑫 HBM 投片 2025 年底约 5K → 2026 年底约 30K → 2027 年底约 55K 片/月（总产能 2026 年底约 350K）；招股书 2025 年约 99% 收入为 DDR/LPDDR、无 HBM 募投项目；HBM3 8 层前段约 35% × 后段约 70% ≈ 综合 25%；G4 ≈ 1z、G5 ≈ 1a（无 EUV）；普通 DRAM 每片位元约是 HBM 3 倍且毛利更高；与通富微电长期合作后段；HBM3 仍经第三国转出口流入中国</t>
        </is>
      </c>
      <c r="C74" t="inlineStr">
        <is>
          <t>https://newsletter.semianalysis.com/p/chinas-cxmt-is-set-to-challenge-dram</t>
        </is>
      </c>
    </row>
    <row r="75">
      <c r="A75" t="n">
        <v>74</v>
      </c>
      <c r="B75" t="inlineStr">
        <is>
          <t>Epoch AI 2026-09（09-24 更新）《Huawei’s roadmap to 2031》：华为 2025 年约 80 万、2026 年中位约 150 万（950PR 约 75 万"可能"用接近 LPDDR 的非 HBM 内存（Epoch 依据一张疑似芯片照片推测：内存模块离计算 die 太远，不像 HBM）、910C 约 43 万用囤货、950DT 约 24 万用长鑫+武汉新芯 HBM、约 8 万用走私 HBM）；囤货多为 8 层 HBM2E 16GB、2026 年用完；长鑫 HBM 投片沿用 SemiAnalysis 口径、武汉新芯约为长鑫 1/10；北方华创 2026-03 发布混合键合机；TSV 刻蚀部分受控（Lam 受控、TEL 不受控）</t>
        </is>
      </c>
      <c r="C75" t="inlineStr">
        <is>
          <t>https://epoch.ai/publications/huaweis-roadmap-to-2031</t>
        </is>
      </c>
    </row>
    <row r="76">
      <c r="A76" t="n">
        <v>75</v>
      </c>
      <c r="B76" t="inlineStr">
        <is>
          <t>华为 2025-09-18 全联接大会徐直军主题演讲（官方文字稿）：950 系列配两种自研 HBM，"与 Ascend 950 Die 合封"；HiBL 1.0 是"自研低成本 HBM，比 HBM3E/HBM4E 更划算"（950PR，2026Q1）；HiZQ 2.0 为 144GB、4TB/s（950DT，2026Q4）；960（2027Q4）、970（2028Q4）。注意：950PR 的 128GB、1.6TB/s 不在文字稿里，见发布会幻灯片转述（路透、Tom’s Hardware）与昇腾官网（源90）</t>
        </is>
      </c>
      <c r="C76" t="inlineStr">
        <is>
          <t>https://www.huawei.com/en/news/2025/9/hc-xu-keynote-speech</t>
        </is>
      </c>
    </row>
    <row r="77">
      <c r="A77" t="n">
        <v>76</v>
      </c>
      <c r="B77" t="inlineStr">
        <is>
          <t>华为 2026-09-17 全联接大会主题演讲：960DT 提前到 2027Q1、960PR 2027Q3；Atlas 960E 超节点 4,096 颗 NPU、最多 1PB HBM（折合每颗约 244GB，Kiko 计算）</t>
        </is>
      </c>
      <c r="C77" t="inlineStr">
        <is>
          <t>https://www.huawei.com/en/news/2026/9/hc-wang-keynote</t>
        </is>
      </c>
    </row>
    <row r="78">
      <c r="A78" t="n">
        <v>77</v>
      </c>
      <c r="B78" t="inlineStr">
        <is>
          <t>路透 2026-09-17：华为 2027 年推两款新 AI 芯片，称需求超过供给（路透需登录，据搜索摘要）</t>
        </is>
      </c>
      <c r="C78" t="inlineStr">
        <is>
          <t>https://www.reuters.com/world/asia-pacific/chinas-huawei-launch-two-new-ai-chips-2027-2026-09-17/</t>
        </is>
      </c>
    </row>
    <row r="79">
      <c r="A79" t="n">
        <v>78</v>
      </c>
      <c r="B79" t="inlineStr">
        <is>
          <t>TrendForce 2026-09-10（转引路透独家）：950DT 卡报价 &gt; 25 万元，两个月涨 20–50%；950PR 年初约 6 万 → 8 万元以上；910C 约 9 万 → 11 万元以上；寒武纪 690 报价上调 20–30%，沐曦、天数跟涨；灰色渠道 HBM 价格是海外的数倍；长鑫已小批量生产 HBM3E</t>
        </is>
      </c>
      <c r="C79" t="inlineStr">
        <is>
          <t>https://www.trendforce.com/news/2026/09/10/news-chinese-ai-chipmakers-reportedly-hike-prices-on-hbm-costs-huawei-950dt-up-as-much-as-50/</t>
        </is>
      </c>
    </row>
    <row r="80">
      <c r="A80" t="n">
        <v>79</v>
      </c>
      <c r="B80" t="inlineStr">
        <is>
          <t>路透 2026-08-31（转引 The Information）：长鑫在先进存储取得突破，小批量生产 HBM3E，2027 年扩产；平头哥、寒武纪在测试（路透需登录，据搜索摘要）</t>
        </is>
      </c>
      <c r="C80" t="inlineStr">
        <is>
          <t>https://www.reuters.com/world/asia-pacific/chinas-cxmt-makes-breakthrough-advanced-memory-chips-information-reports-2026-08-31/</t>
        </is>
      </c>
    </row>
    <row r="81">
      <c r="A81" t="n">
        <v>80</v>
      </c>
      <c r="B81" t="inlineStr">
        <is>
          <t>DIGITIMES 2026-09-10：长鑫 HBM3 试产良率约 25%，TSV 与堆叠是瓶颈（付费墙，据标题与摘要）</t>
        </is>
      </c>
      <c r="C81" t="inlineStr">
        <is>
          <t>https://www.digitimes.com/news/a20260909VL232/cxmt-tsv-hbm3-dram-yield-rate.html</t>
        </is>
      </c>
    </row>
    <row r="82">
      <c r="A82" t="n">
        <v>81</v>
      </c>
      <c r="B82" t="inlineStr">
        <is>
          <t>IDCNOVA/KDC 2026-04-23：2025 年中国 AI 加速卡约 400 万张，国产 165 万（41.3%）；2026 年国产约 230 万（51.1%）；华为 2025 年 81.2 万 → 2026 年 102.6 万；平头哥 26.5 万、昆仑芯 11.6 万（2025）；寒武纪 2026 年约 35 万，690 受 HBM 制约</t>
        </is>
      </c>
      <c r="C82" t="inlineStr">
        <is>
          <t>https://www.idcnova.com/insight/report-31</t>
        </is>
      </c>
    </row>
    <row r="83">
      <c r="A83" t="n">
        <v>82</v>
      </c>
      <c r="B83" t="inlineStr">
        <is>
          <t>DIGITIMES Research 2026-04-28：2026 年中国高端云端 AI 加速器出货约 212.3 万颗（+136%），华为过半（付费报告，据摘要）</t>
        </is>
      </c>
      <c r="C83" t="inlineStr">
        <is>
          <t>https://www.digitimes.com/reports/item.php?id=20260420RS400</t>
        </is>
      </c>
    </row>
    <row r="84">
      <c r="A84" t="n">
        <v>83</v>
      </c>
      <c r="B84" t="inlineStr">
        <is>
          <t>美国联邦公报 2026-01-15（2026-00789）：H200/MI325X 一类芯片对华改为逐案审查，对华量不超过对美销量 50%、需第三方测试；HBM 单独出口的管制不变</t>
        </is>
      </c>
      <c r="C84" t="inlineStr">
        <is>
          <t>https://www.federalregister.gov/d/2026-00789</t>
        </is>
      </c>
    </row>
    <row r="85">
      <c r="A85" t="n">
        <v>84</v>
      </c>
      <c r="B85" t="inlineStr">
        <is>
          <t>路透 2026-08-19（转引 FT）：H200 小批量进入中国，字节、腾讯各约 1 万颗，须发改委逐单审批（路透需登录，据搜索摘要；Tom’s Hardware 同报）</t>
        </is>
      </c>
      <c r="C85" t="inlineStr">
        <is>
          <t>https://www.reuters.com/world/asia-pacific/nvidia-h200-chips-reach-china-small-shipments-ft-reports-2026-08-19/</t>
        </is>
      </c>
    </row>
    <row r="86">
      <c r="A86" t="n">
        <v>85</v>
      </c>
      <c r="B86" t="inlineStr">
        <is>
          <t>上交所 2026-07-24 公告：长鑫科技（688825）科创板上市交易，2026-07-27 上市</t>
        </is>
      </c>
      <c r="C86" t="inlineStr">
        <is>
          <t>https://www.sse.com.cn/disclosure/announcement/listing/ipo/c/c_20260724_10826610.shtml</t>
        </is>
      </c>
    </row>
    <row r="87">
      <c r="A87" t="n">
        <v>86</v>
      </c>
      <c r="B87" t="inlineStr">
        <is>
          <t>TrendForce 2024-07-02（转引韩媒）：华为与武汉新芯合作开发 HBM，长电、通富参与封装；双方随后否认（SCMP）</t>
        </is>
      </c>
      <c r="C87" t="inlineStr">
        <is>
          <t>https://www.trendforce.com/news/2024/07/02/news-huawei-and-xmc-collaborate-to-develop-hbm-looking-to-break-through-u-s-sanctions/</t>
        </is>
      </c>
    </row>
    <row r="88">
      <c r="A88" t="n">
        <v>87</v>
      </c>
      <c r="B88" t="inlineStr">
        <is>
          <t>证券日报 2026-05-18（东方财富转载）：快克智能互动平台称 TCB 热压键合设备正为几家客户打样验证，验证时间较长，尚未形成订单</t>
        </is>
      </c>
      <c r="C88" t="inlineStr">
        <is>
          <t>https://finance.eastmoney.com/a/202605183740593577.html</t>
        </is>
      </c>
    </row>
    <row r="89">
      <c r="A89" t="n">
        <v>88</v>
      </c>
      <c r="B89" t="inlineStr">
        <is>
          <t>TechPowerUp 2026-02-10（转引 MK）：长鑫计划 2026 年拿约 20% 产能（约 6 万片/月，总 30 万）做 HBM3——与 SemiAnalysis 3 万片口径冲突</t>
        </is>
      </c>
      <c r="C89" t="inlineStr">
        <is>
          <t>https://www.techpowerup.com/346207/cxmt-reportedly-plans-to-dedicate-20-of-mass-production-capacity-to-hbm3-line-in-2026</t>
        </is>
      </c>
    </row>
    <row r="90">
      <c r="A90" t="n">
        <v>89</v>
      </c>
      <c r="B90" t="inlineStr">
        <is>
          <t>东方财富财富号（个人作者，未证实）2026-05-27：长鑫 HBM 产线 TCB 国产化观察（称快克 TCB 进入长鑫验证、单台 800–1,200 万元）</t>
        </is>
      </c>
      <c r="C90" t="inlineStr">
        <is>
          <t>https://caifuhao.eastmoney.com/news/20260527190247307266190</t>
        </is>
      </c>
    </row>
    <row r="91">
      <c r="A91" t="n">
        <v>90</v>
      </c>
      <c r="B91" t="inlineStr">
        <is>
          <t>昇腾官网 Ascend 950PR 处理器页：最大配备 128GB、1.6TB/s"高速片上内存"（页面未写 HBM）</t>
        </is>
      </c>
      <c r="C91" t="inlineStr">
        <is>
          <t>https://www.hiascend.com/hardware/processor</t>
        </is>
      </c>
    </row>
    <row r="92">
      <c r="A92" t="n">
        <v>91</v>
      </c>
      <c r="B92" t="inlineStr">
        <is>
          <t>昇腾官网 Atlas 350 加速卡（950PR）技术规格：内存 112 GB HBM、带宽 1.4TB/s、支持 ECC，最大功耗 ≤600W</t>
        </is>
      </c>
      <c r="C92" t="inlineStr">
        <is>
          <t>https://www.hiascend.com/hardware/accelerator-card</t>
        </is>
      </c>
    </row>
    <row r="93">
      <c r="A93" t="n">
        <v>92</v>
      </c>
      <c r="B93" t="inlineStr">
        <is>
          <t>路透 2026-03-27 独家（RTHK 转载）：华为 2026 年计划出货约 75 万颗 950PR，4 月量产、下半年放量；用传统 DDR 内存的版本约 5 万元/卡，用更快 HBM 的高配版约 7 万元</t>
        </is>
      </c>
      <c r="C93" t="inlineStr">
        <is>
          <t>https://news.rthk.hk/rthk/en/component/k2/1849055-20260327.htm</t>
        </is>
      </c>
    </row>
    <row r="94">
      <c r="A94" t="n">
        <v>93</v>
      </c>
      <c r="B94" t="inlineStr">
        <is>
          <t>Business Times（转引彭博）2025-10：TechInsights 拆解多枚 910C，发现台积电代工的 die，以及三星、SK 海力士的 HBM2E（分别出现在两个不同样本里）；台积电称这些 die 与 2024-10 分析过的是同一批</t>
        </is>
      </c>
      <c r="C94" t="inlineStr">
        <is>
          <t>https://www.businesstimes.com.sg/companies-markets/huawei-used-tsmc-samsung-sk-hynix-components-top-ai-chips-techinsights</t>
        </is>
      </c>
    </row>
    <row r="95">
      <c r="A95" t="n">
        <v>94</v>
      </c>
      <c r="B95" t="inlineStr">
        <is>
          <t>heise 2024-10：TechInsights 拆解 Atlas 300T A2 加速卡中的昇腾 910B，发现台积电制造的芯片</t>
        </is>
      </c>
      <c r="C95" t="inlineStr">
        <is>
          <t>https://www.heise.de/en/news/Surprise-TSMC-technology-found-in-Huawei-s-AI-accelerator-9992277.html</t>
        </is>
      </c>
    </row>
    <row r="96">
      <c r="A96" t="n">
        <v>95</v>
      </c>
      <c r="B96" t="inlineStr">
        <is>
          <t>TechPowerUp 2025-12：昇腾 950 芯片照片首次曝光，作者称计算 die 周围的内存"像 LPDDR/HBM 混合体"（照片判读，非拆解）</t>
        </is>
      </c>
      <c r="C96" t="inlineStr">
        <is>
          <t>https://www.techpowerup.com/344062/huawei-ascend-950-ai-accelerator-pictured</t>
        </is>
      </c>
    </row>
    <row r="97">
      <c r="A97" t="n">
        <v>96</v>
      </c>
      <c r="B97" t="inlineStr">
        <is>
          <t>Huawei Central 2026-07-03（转引 X 用户 @zephyr_z9 泄露图）：950PR 封装为 2 个 AI die + 8 个内存模块，950DT 为 4 个 HiZQ 堆栈、每堆栈约 1TB/s（泄露，未证实；网站拒绝 curl，据搜索摘要）</t>
        </is>
      </c>
      <c r="C97" t="inlineStr">
        <is>
          <t>https://www.huaweicentral.com/huawei-ascend-950dt-die-chip-design-details/</t>
        </is>
      </c>
    </row>
    <row r="98">
      <c r="A98" t="n">
        <v>97</v>
      </c>
      <c r="B98" t="inlineStr">
        <is>
          <t>Tom's Hardware 2026-03：Atlas 350 配 112GB 华为自研 HiBL 1.0、1.4TB/s；内存供应商未知</t>
        </is>
      </c>
      <c r="C98" t="inlineStr">
        <is>
          <t>https://www.tomshardware.com/pc-components/gpus/huawei-unveils-new-atlas-350-ai-accelerator-with-1-56-pflops-of-fp4-compute-and-up-to-112gb-of-hbm-claims-2-8x-more-performance-than-nvidias-h20</t>
        </is>
      </c>
    </row>
    <row r="99">
      <c r="A99" t="n">
        <v>98</v>
      </c>
      <c r="B99" t="inlineStr">
        <is>
          <t>路透 2026-07-10 专访：SK 海力士 CEO 郭鲁正称 2027 年将是"业界史上供给最紧的一年"，客户需求到 2030 年后仍高于产能（路透需登录，据搜索摘要）</t>
        </is>
      </c>
      <c r="C99" t="inlineStr">
        <is>
          <t>https://www.reuters.com/world/asia-pacific/sk-hynix-ceo-sees-worst-ever-memory-supply-shortage-2027-says-demand-outstrip-2026-07-10/</t>
        </is>
      </c>
    </row>
    <row r="100">
      <c r="A100" t="n">
        <v>99</v>
      </c>
      <c r="B100" t="inlineStr">
        <is>
          <t>톱스타뉴스 2026-10（汇总韩国券商）：키움증권估 2027 年 HBM 需求 534 亿 Gb（+56%），产量只 +50%，缺口扩大，HBM4 均价 +65%；HBM 产能 53 万 → 79 万片/月，CoWoS 12 万 → 15 万片/月</t>
        </is>
      </c>
      <c r="C100" t="inlineStr">
        <is>
          <t>https://www.topstarnews.net/news/articleView.html?idxno=16160242</t>
        </is>
      </c>
    </row>
    <row r="101">
      <c r="A101" t="n">
        <v>100</v>
      </c>
      <c r="B101" t="inlineStr">
        <is>
          <t>韩国经济 2026-10-14：摩根大通称存储短缺持续到 2028 年（标题）；Hilo 转述同一报告：2027/28 年 HBM 混合均价 +54%/+25%</t>
        </is>
      </c>
      <c r="C101" t="inlineStr">
        <is>
          <t>https://www.hankyung.com/article/202610142408i</t>
        </is>
      </c>
    </row>
    <row r="102">
      <c r="A102" t="n">
        <v>101</v>
      </c>
      <c r="B102" t="inlineStr">
        <is>
          <t>NoCut News 2026-10：存储"售罄到 2028 年"；美光 CEO Mehrotra 称 2027、2028 年需求都将超过供给；TrendForce 称新产能 2028 年才实质放量</t>
        </is>
      </c>
      <c r="C102" t="inlineStr">
        <is>
          <t>https://en.nocutnews.co.kr/news/6586071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单位：百万颗 AI 加速器封装/季；算法见 toc.js / data/toc.json；除 CoWoS、HBM 外各环节规模为估计（含校准）；由 cowos/build.py 生成</t>
        </is>
      </c>
    </row>
    <row r="2">
      <c r="A2" s="1" t="inlineStr">
        <is>
          <t>季度</t>
        </is>
      </c>
      <c r="B2" s="1" t="inlineStr">
        <is>
          <t>需求</t>
        </is>
      </c>
      <c r="C2" s="1" t="inlineStr">
        <is>
          <t>CoWoS</t>
        </is>
      </c>
      <c r="D2" s="1" t="inlineStr">
        <is>
          <t>硅中介层</t>
        </is>
      </c>
      <c r="E2" s="1" t="inlineStr">
        <is>
          <t>HBM</t>
        </is>
      </c>
      <c r="F2" s="1" t="inlineStr">
        <is>
          <t>TC键合机</t>
        </is>
      </c>
      <c r="G2" s="1" t="inlineStr">
        <is>
          <t>ABF载板</t>
        </is>
      </c>
      <c r="H2" s="1" t="inlineStr">
        <is>
          <t>电力</t>
        </is>
      </c>
      <c r="I2" s="1" t="inlineStr">
        <is>
          <t>最小环节</t>
        </is>
      </c>
      <c r="J2" s="1" t="inlineStr">
        <is>
          <t>约束</t>
        </is>
      </c>
      <c r="K2" s="1" t="inlineStr">
        <is>
          <t>通过量</t>
        </is>
      </c>
    </row>
    <row r="3">
      <c r="A3" t="inlineStr">
        <is>
          <t>2024Q1</t>
        </is>
      </c>
      <c r="B3" t="n">
        <v>1.917</v>
      </c>
      <c r="C3" t="n">
        <v>1.341</v>
      </c>
      <c r="D3" t="n">
        <v>1.646</v>
      </c>
      <c r="E3" t="n">
        <v>1.47</v>
      </c>
      <c r="F3" t="n">
        <v>3.274</v>
      </c>
      <c r="G3" t="n">
        <v>2.109</v>
      </c>
      <c r="H3" t="n">
        <v>2.517</v>
      </c>
      <c r="I3" t="inlineStr">
        <is>
          <t>CoWoS</t>
        </is>
      </c>
      <c r="J3" t="inlineStr">
        <is>
          <t>CoWoS</t>
        </is>
      </c>
      <c r="K3" t="n">
        <v>1.341</v>
      </c>
    </row>
    <row r="4">
      <c r="A4" t="inlineStr">
        <is>
          <t>2024Q2</t>
        </is>
      </c>
      <c r="B4" t="n">
        <v>2.091</v>
      </c>
      <c r="C4" t="n">
        <v>1.779</v>
      </c>
      <c r="D4" t="n">
        <v>2.127</v>
      </c>
      <c r="E4" t="n">
        <v>1.79</v>
      </c>
      <c r="F4" t="n">
        <v>4.097</v>
      </c>
      <c r="G4" t="n">
        <v>2.3</v>
      </c>
      <c r="H4" t="n">
        <v>2.517</v>
      </c>
      <c r="I4" t="inlineStr">
        <is>
          <t>CoWoS</t>
        </is>
      </c>
      <c r="J4" t="inlineStr">
        <is>
          <t>CoWoS</t>
        </is>
      </c>
      <c r="K4" t="n">
        <v>1.779</v>
      </c>
    </row>
    <row r="5">
      <c r="A5" t="inlineStr">
        <is>
          <t>2024Q3</t>
        </is>
      </c>
      <c r="B5" t="n">
        <v>2.266</v>
      </c>
      <c r="C5" t="n">
        <v>2.217</v>
      </c>
      <c r="D5" t="n">
        <v>2.609</v>
      </c>
      <c r="E5" t="n">
        <v>2.749</v>
      </c>
      <c r="F5" t="n">
        <v>4.92</v>
      </c>
      <c r="G5" t="n">
        <v>2.492</v>
      </c>
      <c r="H5" t="n">
        <v>2.768</v>
      </c>
      <c r="I5" t="inlineStr">
        <is>
          <t>CoWoS</t>
        </is>
      </c>
      <c r="J5" t="inlineStr">
        <is>
          <t>CoWoS</t>
        </is>
      </c>
      <c r="K5" t="n">
        <v>2.217</v>
      </c>
    </row>
    <row r="6">
      <c r="A6" t="inlineStr">
        <is>
          <t>2024Q4</t>
        </is>
      </c>
      <c r="B6" t="n">
        <v>2.44</v>
      </c>
      <c r="C6" t="n">
        <v>2.655</v>
      </c>
      <c r="D6" t="n">
        <v>3.082</v>
      </c>
      <c r="E6" t="n">
        <v>3.58</v>
      </c>
      <c r="F6" t="n">
        <v>5.743</v>
      </c>
      <c r="G6" t="n">
        <v>2.684</v>
      </c>
      <c r="H6" t="n">
        <v>2.768</v>
      </c>
      <c r="I6" t="inlineStr">
        <is>
          <t>CoWoS</t>
        </is>
      </c>
      <c r="J6" t="inlineStr">
        <is>
          <t>需求（各环节都够）</t>
        </is>
      </c>
      <c r="K6" t="n">
        <v>2.44</v>
      </c>
    </row>
    <row r="7">
      <c r="A7" t="inlineStr">
        <is>
          <t>2025Q1</t>
        </is>
      </c>
      <c r="B7" t="n">
        <v>2.559</v>
      </c>
      <c r="C7" t="n">
        <v>2.331</v>
      </c>
      <c r="D7" t="n">
        <v>3.214</v>
      </c>
      <c r="E7" t="n">
        <v>3.377</v>
      </c>
      <c r="F7" t="n">
        <v>3.714</v>
      </c>
      <c r="G7" t="n">
        <v>2.687</v>
      </c>
      <c r="H7" t="n">
        <v>3.07</v>
      </c>
      <c r="I7" t="inlineStr">
        <is>
          <t>CoWoS</t>
        </is>
      </c>
      <c r="J7" t="inlineStr">
        <is>
          <t>CoWoS</t>
        </is>
      </c>
      <c r="K7" t="n">
        <v>2.331</v>
      </c>
    </row>
    <row r="8">
      <c r="A8" t="inlineStr">
        <is>
          <t>2025Q2</t>
        </is>
      </c>
      <c r="B8" t="n">
        <v>2.791</v>
      </c>
      <c r="C8" t="n">
        <v>2.961</v>
      </c>
      <c r="D8" t="n">
        <v>3.302</v>
      </c>
      <c r="E8" t="n">
        <v>3.678</v>
      </c>
      <c r="F8" t="n">
        <v>4.455</v>
      </c>
      <c r="G8" t="n">
        <v>2.931</v>
      </c>
      <c r="H8" t="n">
        <v>3.07</v>
      </c>
      <c r="I8" t="inlineStr">
        <is>
          <t>ABF 载板</t>
        </is>
      </c>
      <c r="J8" t="inlineStr">
        <is>
          <t>需求（各环节都够）</t>
        </is>
      </c>
      <c r="K8" t="n">
        <v>2.791</v>
      </c>
    </row>
    <row r="9">
      <c r="A9" t="inlineStr">
        <is>
          <t>2025Q3</t>
        </is>
      </c>
      <c r="B9" t="n">
        <v>3.024</v>
      </c>
      <c r="C9" t="n">
        <v>3.591</v>
      </c>
      <c r="D9" t="n">
        <v>3.391</v>
      </c>
      <c r="E9" t="n">
        <v>3.978</v>
      </c>
      <c r="F9" t="n">
        <v>5.196</v>
      </c>
      <c r="G9" t="n">
        <v>3.175</v>
      </c>
      <c r="H9" t="n">
        <v>3.93</v>
      </c>
      <c r="I9" t="inlineStr">
        <is>
          <t>ABF 载板</t>
        </is>
      </c>
      <c r="J9" t="inlineStr">
        <is>
          <t>需求（各环节都够）</t>
        </is>
      </c>
      <c r="K9" t="n">
        <v>3.024</v>
      </c>
    </row>
    <row r="10">
      <c r="A10" t="inlineStr">
        <is>
          <t>2025Q4</t>
        </is>
      </c>
      <c r="B10" t="n">
        <v>3.256</v>
      </c>
      <c r="C10" t="n">
        <v>4.221</v>
      </c>
      <c r="D10" t="n">
        <v>3.479</v>
      </c>
      <c r="E10" t="n">
        <v>4.281</v>
      </c>
      <c r="F10" t="n">
        <v>5.937</v>
      </c>
      <c r="G10" t="n">
        <v>3.419</v>
      </c>
      <c r="H10" t="n">
        <v>3.93</v>
      </c>
      <c r="I10" t="inlineStr">
        <is>
          <t>ABF 载板</t>
        </is>
      </c>
      <c r="J10" t="inlineStr">
        <is>
          <t>需求（各环节都够）</t>
        </is>
      </c>
      <c r="K10" t="n">
        <v>3.256</v>
      </c>
    </row>
    <row r="11">
      <c r="A11" t="inlineStr">
        <is>
          <t>2026Q1</t>
        </is>
      </c>
      <c r="B11" t="n">
        <v>4.349</v>
      </c>
      <c r="C11" t="n">
        <v>4.457</v>
      </c>
      <c r="D11" t="n">
        <v>4.722</v>
      </c>
      <c r="E11" t="n">
        <v>5.11</v>
      </c>
      <c r="F11" t="n">
        <v>7.275</v>
      </c>
      <c r="G11" t="n">
        <v>4.48</v>
      </c>
      <c r="H11" t="n">
        <v>6.755</v>
      </c>
      <c r="I11" t="inlineStr">
        <is>
          <t>CoWoS</t>
        </is>
      </c>
      <c r="J11" t="inlineStr">
        <is>
          <t>需求（各环节都够）</t>
        </is>
      </c>
      <c r="K11" t="n">
        <v>4.349</v>
      </c>
    </row>
    <row r="12">
      <c r="A12" t="inlineStr">
        <is>
          <t>2026Q2</t>
        </is>
      </c>
      <c r="B12" t="n">
        <v>4.745</v>
      </c>
      <c r="C12" t="n">
        <v>5.211</v>
      </c>
      <c r="D12" t="n">
        <v>5.215</v>
      </c>
      <c r="E12" t="n">
        <v>5.445</v>
      </c>
      <c r="F12" t="n">
        <v>8.313000000000001</v>
      </c>
      <c r="G12" t="n">
        <v>4.887</v>
      </c>
      <c r="H12" t="n">
        <v>6.755</v>
      </c>
      <c r="I12" t="inlineStr">
        <is>
          <t>ABF 载板</t>
        </is>
      </c>
      <c r="J12" t="inlineStr">
        <is>
          <t>需求（各环节都够）</t>
        </is>
      </c>
      <c r="K12" t="n">
        <v>4.745</v>
      </c>
    </row>
    <row r="13">
      <c r="A13" t="inlineStr">
        <is>
          <t>2026Q3</t>
        </is>
      </c>
      <c r="B13" t="n">
        <v>5.14</v>
      </c>
      <c r="C13" t="n">
        <v>5.964</v>
      </c>
      <c r="D13" t="n">
        <v>5.709</v>
      </c>
      <c r="E13" t="n">
        <v>5.781</v>
      </c>
      <c r="F13" t="n">
        <v>9.35</v>
      </c>
      <c r="G13" t="n">
        <v>5.294</v>
      </c>
      <c r="H13" t="n">
        <v>7.025</v>
      </c>
      <c r="I13" t="inlineStr">
        <is>
          <t>ABF 载板</t>
        </is>
      </c>
      <c r="J13" t="inlineStr">
        <is>
          <t>需求（各环节都够）</t>
        </is>
      </c>
      <c r="K13" t="n">
        <v>5.14</v>
      </c>
    </row>
    <row r="14">
      <c r="A14" t="inlineStr">
        <is>
          <t>2026Q4</t>
        </is>
      </c>
      <c r="B14" t="n">
        <v>5.535</v>
      </c>
      <c r="C14" t="n">
        <v>6.718</v>
      </c>
      <c r="D14" t="n">
        <v>6.203</v>
      </c>
      <c r="E14" t="n">
        <v>6.118</v>
      </c>
      <c r="F14" t="n">
        <v>10.388</v>
      </c>
      <c r="G14" t="n">
        <v>5.701</v>
      </c>
      <c r="H14" t="n">
        <v>7.025</v>
      </c>
      <c r="I14" t="inlineStr">
        <is>
          <t>ABF 载板</t>
        </is>
      </c>
      <c r="J14" t="inlineStr">
        <is>
          <t>需求（各环节都够）</t>
        </is>
      </c>
      <c r="K14" t="n">
        <v>5.535</v>
      </c>
    </row>
    <row r="15">
      <c r="A15" t="inlineStr">
        <is>
          <t>2027Q1</t>
        </is>
      </c>
      <c r="B15" t="n">
        <v>8.029999999999999</v>
      </c>
      <c r="C15" t="n">
        <v>7.346</v>
      </c>
      <c r="D15" t="n">
        <v>8.186999999999999</v>
      </c>
      <c r="E15" t="n">
        <v>7.245</v>
      </c>
      <c r="F15" t="n">
        <v>13.083</v>
      </c>
      <c r="G15" t="n">
        <v>5.712</v>
      </c>
      <c r="H15" t="n">
        <v>10.126</v>
      </c>
      <c r="I15" t="inlineStr">
        <is>
          <t>ABF 载板</t>
        </is>
      </c>
      <c r="J15" t="inlineStr">
        <is>
          <t>ABF 载板</t>
        </is>
      </c>
      <c r="K15" t="n">
        <v>5.712</v>
      </c>
    </row>
    <row r="16">
      <c r="A16" t="inlineStr">
        <is>
          <t>2027Q2</t>
        </is>
      </c>
      <c r="B16" t="n">
        <v>8.76</v>
      </c>
      <c r="C16" t="n">
        <v>8.544</v>
      </c>
      <c r="D16" t="n">
        <v>8.94</v>
      </c>
      <c r="E16" t="n">
        <v>7.874</v>
      </c>
      <c r="F16" t="n">
        <v>14.271</v>
      </c>
      <c r="G16" t="n">
        <v>6.231</v>
      </c>
      <c r="H16" t="n">
        <v>10.126</v>
      </c>
      <c r="I16" t="inlineStr">
        <is>
          <t>ABF 载板</t>
        </is>
      </c>
      <c r="J16" t="inlineStr">
        <is>
          <t>ABF 载板</t>
        </is>
      </c>
      <c r="K16" t="n">
        <v>6.231</v>
      </c>
    </row>
    <row r="17">
      <c r="A17" t="inlineStr">
        <is>
          <t>2027Q3</t>
        </is>
      </c>
      <c r="B17" t="n">
        <v>9.49</v>
      </c>
      <c r="C17" t="n">
        <v>9.742000000000001</v>
      </c>
      <c r="D17" t="n">
        <v>9.694000000000001</v>
      </c>
      <c r="E17" t="n">
        <v>8.502000000000001</v>
      </c>
      <c r="F17" t="n">
        <v>15.459</v>
      </c>
      <c r="G17" t="n">
        <v>6.75</v>
      </c>
      <c r="H17" t="n">
        <v>10.126</v>
      </c>
      <c r="I17" t="inlineStr">
        <is>
          <t>ABF 载板</t>
        </is>
      </c>
      <c r="J17" t="inlineStr">
        <is>
          <t>ABF 载板</t>
        </is>
      </c>
      <c r="K17" t="n">
        <v>6.75</v>
      </c>
    </row>
    <row r="18">
      <c r="A18" t="inlineStr">
        <is>
          <t>2027Q4</t>
        </is>
      </c>
      <c r="B18" t="n">
        <v>10.22</v>
      </c>
      <c r="C18" t="n">
        <v>10.932</v>
      </c>
      <c r="D18" t="n">
        <v>10.448</v>
      </c>
      <c r="E18" t="n">
        <v>9.131</v>
      </c>
      <c r="F18" t="n">
        <v>16.647</v>
      </c>
      <c r="G18" t="n">
        <v>7.269</v>
      </c>
      <c r="H18" t="n">
        <v>10.126</v>
      </c>
      <c r="I18" t="inlineStr">
        <is>
          <t>ABF 载板</t>
        </is>
      </c>
      <c r="J18" t="inlineStr">
        <is>
          <t>ABF 载板</t>
        </is>
      </c>
      <c r="K18" t="n">
        <v>7.269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2026-10-16T12:36:44Z</dcterms:created>
  <dcterms:modified xmlns:dcterms="http://purl.org/dc/terms/" xmlns:xsi="http://www.w3.org/2001/XMLSchema-instance" xsi:type="dcterms:W3CDTF">2026-10-16T12:36:45Z</dcterms:modified>
</cp:coreProperties>
</file>